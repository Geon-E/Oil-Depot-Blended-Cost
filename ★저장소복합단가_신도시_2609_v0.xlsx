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02"/>
  <workbookPr/>
  <mc:AlternateContent xmlns:mc="http://schemas.openxmlformats.org/markup-compatibility/2006">
    <mc:Choice Requires="x15">
      <x15ac:absPath xmlns:x15ac="http://schemas.microsoft.com/office/spreadsheetml/2010/11/ac" url="C:\Users\admin\Desktop\박태건\6. 영업지원\8. 소매매출이익\저장소복합단가\2609\"/>
    </mc:Choice>
  </mc:AlternateContent>
  <xr:revisionPtr revIDLastSave="0" documentId="11_9FE2411D20B191B05C7C4CB40E86AC4F0CBE98C7" xr6:coauthVersionLast="47" xr6:coauthVersionMax="47" xr10:uidLastSave="{00000000-0000-0000-0000-000000000000}"/>
  <bookViews>
    <workbookView xWindow="0" yWindow="0" windowWidth="28800" windowHeight="12285" tabRatio="831" firstSheet="146" activeTab="146" xr2:uid="{00000000-000D-0000-FFFF-FFFF00000000}"/>
  </bookViews>
  <sheets>
    <sheet name="1202" sheetId="1729" r:id="rId1"/>
    <sheet name="1204" sheetId="1730" r:id="rId2"/>
    <sheet name="1205" sheetId="1731" r:id="rId3"/>
    <sheet name="1208" sheetId="1732" r:id="rId4"/>
    <sheet name="1209" sheetId="1733" r:id="rId5"/>
    <sheet name="1210" sheetId="1734" r:id="rId6"/>
    <sheet name="1211" sheetId="1735" r:id="rId7"/>
    <sheet name="1212" sheetId="1736" r:id="rId8"/>
    <sheet name="1216" sheetId="1737" r:id="rId9"/>
    <sheet name="1217" sheetId="1738" r:id="rId10"/>
    <sheet name="1219" sheetId="1739" r:id="rId11"/>
    <sheet name="1224" sheetId="1740" r:id="rId12"/>
    <sheet name="1228" sheetId="1741" r:id="rId13"/>
    <sheet name="1230" sheetId="1742" r:id="rId14"/>
    <sheet name="0105" sheetId="1743" r:id="rId15"/>
    <sheet name="0113" sheetId="1744" r:id="rId16"/>
    <sheet name="0114" sheetId="1745" r:id="rId17"/>
    <sheet name="0115" sheetId="1746" r:id="rId18"/>
    <sheet name="0116" sheetId="1747" r:id="rId19"/>
    <sheet name="0120" sheetId="1748" r:id="rId20"/>
    <sheet name="0205" sheetId="1749" r:id="rId21"/>
    <sheet name="0210" sheetId="1750" r:id="rId22"/>
    <sheet name="0210 (입고)" sheetId="1761" r:id="rId23"/>
    <sheet name="0212" sheetId="1751" r:id="rId24"/>
    <sheet name="0212 (입고)" sheetId="1762" r:id="rId25"/>
    <sheet name="0213" sheetId="1752" r:id="rId26"/>
    <sheet name="0213 (입고)" sheetId="1763" r:id="rId27"/>
    <sheet name="0214 (입고)" sheetId="1753" r:id="rId28"/>
    <sheet name="0224" sheetId="1754" r:id="rId29"/>
    <sheet name="0225" sheetId="1755" r:id="rId30"/>
    <sheet name="0227 (입고)" sheetId="1756" r:id="rId31"/>
    <sheet name="0228" sheetId="1757" r:id="rId32"/>
    <sheet name="0228 (입고)" sheetId="1765" r:id="rId33"/>
    <sheet name="0304 (입고)" sheetId="1758" r:id="rId34"/>
    <sheet name="0305 (입고)" sheetId="1766" r:id="rId35"/>
    <sheet name="0305" sheetId="1767" r:id="rId36"/>
    <sheet name="0311" sheetId="1768" r:id="rId37"/>
    <sheet name="0313 (입고)" sheetId="1769" r:id="rId38"/>
    <sheet name="0314 (입고)" sheetId="1770" r:id="rId39"/>
    <sheet name="0318" sheetId="1771" r:id="rId40"/>
    <sheet name="0319 (입고)" sheetId="1772" r:id="rId41"/>
    <sheet name="0319" sheetId="1773" r:id="rId42"/>
    <sheet name="0320 (입고)" sheetId="1774" r:id="rId43"/>
    <sheet name="0320" sheetId="1775" r:id="rId44"/>
    <sheet name="0321 (입고)" sheetId="1794" r:id="rId45"/>
    <sheet name="0321" sheetId="1779" r:id="rId46"/>
    <sheet name="0323 (입고)" sheetId="1780" r:id="rId47"/>
    <sheet name="0324" sheetId="1781" r:id="rId48"/>
    <sheet name="0325 (입고)" sheetId="1782" r:id="rId49"/>
    <sheet name="0325" sheetId="1783" r:id="rId50"/>
    <sheet name="0326 (입고)" sheetId="1784" r:id="rId51"/>
    <sheet name="0326" sheetId="1785" r:id="rId52"/>
    <sheet name="0327" sheetId="1786" r:id="rId53"/>
    <sheet name="0329" sheetId="1787" r:id="rId54"/>
    <sheet name="0331 (입고)" sheetId="1788" r:id="rId55"/>
    <sheet name="0331" sheetId="1789" r:id="rId56"/>
    <sheet name="0401" sheetId="1792" r:id="rId57"/>
    <sheet name="0402" sheetId="1793" r:id="rId58"/>
    <sheet name="0403 (입고)" sheetId="1795" r:id="rId59"/>
    <sheet name="0406 (입고)" sheetId="1796" r:id="rId60"/>
    <sheet name="0406" sheetId="1797" r:id="rId61"/>
    <sheet name="0407 (입고)" sheetId="1798" r:id="rId62"/>
    <sheet name="0407" sheetId="1799" r:id="rId63"/>
    <sheet name="0409 (입고)" sheetId="1800" r:id="rId64"/>
    <sheet name="0409" sheetId="1801" r:id="rId65"/>
    <sheet name="0413" sheetId="1802" r:id="rId66"/>
    <sheet name="0414 (입고)" sheetId="1803" r:id="rId67"/>
    <sheet name="0414" sheetId="1804" r:id="rId68"/>
    <sheet name="0417 (입고)" sheetId="1807" r:id="rId69"/>
    <sheet name="0417" sheetId="1808" r:id="rId70"/>
    <sheet name="0419 (입고)" sheetId="1809" r:id="rId71"/>
    <sheet name="0419" sheetId="1810" r:id="rId72"/>
    <sheet name="0422 (입고)" sheetId="1811" r:id="rId73"/>
    <sheet name="0423 (입고)" sheetId="1812" r:id="rId74"/>
    <sheet name="0427" sheetId="1813" r:id="rId75"/>
    <sheet name="0430" sheetId="1814" r:id="rId76"/>
    <sheet name="0501" sheetId="1815" r:id="rId77"/>
    <sheet name="0504 (입고)" sheetId="1816" r:id="rId78"/>
    <sheet name="0505 (입고)" sheetId="1817" r:id="rId79"/>
    <sheet name="0506 (입고)" sheetId="1819" r:id="rId80"/>
    <sheet name="0506" sheetId="1820" r:id="rId81"/>
    <sheet name="0507 (입고)" sheetId="1821" r:id="rId82"/>
    <sheet name="0507" sheetId="1822" r:id="rId83"/>
    <sheet name="0512 (입고)" sheetId="1825" r:id="rId84"/>
    <sheet name="0512" sheetId="1823" r:id="rId85"/>
    <sheet name="0514" sheetId="1824" r:id="rId86"/>
    <sheet name="0518 (증감처리)" sheetId="1834" r:id="rId87"/>
    <sheet name="0519 (입고)" sheetId="1830" r:id="rId88"/>
    <sheet name="0519" sheetId="1831" r:id="rId89"/>
    <sheet name="0520 (입고)" sheetId="1832" r:id="rId90"/>
    <sheet name="0520" sheetId="1833" r:id="rId91"/>
    <sheet name="0521 (입고)" sheetId="1835" r:id="rId92"/>
    <sheet name="0521" sheetId="1836" r:id="rId93"/>
    <sheet name="0526" sheetId="1837" r:id="rId94"/>
    <sheet name="0527" sheetId="1838" r:id="rId95"/>
    <sheet name="0528" sheetId="1839" r:id="rId96"/>
    <sheet name="0601 (기초)" sheetId="1852" r:id="rId97"/>
    <sheet name="0601" sheetId="1849" r:id="rId98"/>
    <sheet name="0602" sheetId="1840" r:id="rId99"/>
    <sheet name="0605 (입고)" sheetId="1841" r:id="rId100"/>
    <sheet name="0605" sheetId="1842" r:id="rId101"/>
    <sheet name="0608" sheetId="1843" r:id="rId102"/>
    <sheet name="0609 (입고)" sheetId="1844" r:id="rId103"/>
    <sheet name="0609" sheetId="1845" r:id="rId104"/>
    <sheet name="0617" sheetId="1846" r:id="rId105"/>
    <sheet name="0619" sheetId="1847" r:id="rId106"/>
    <sheet name="0622 (입고)" sheetId="1848" r:id="rId107"/>
    <sheet name="0627" sheetId="1850" r:id="rId108"/>
    <sheet name="0701 (기초)" sheetId="1853" r:id="rId109"/>
    <sheet name="0702" sheetId="1851" r:id="rId110"/>
    <sheet name="0710 (증감)" sheetId="1854" r:id="rId111"/>
    <sheet name="0715 (입고)" sheetId="1855" r:id="rId112"/>
    <sheet name="0717 (입고)" sheetId="1856" r:id="rId113"/>
    <sheet name="0717" sheetId="1857" r:id="rId114"/>
    <sheet name="0718 (입고)" sheetId="1858" r:id="rId115"/>
    <sheet name="0718" sheetId="1859" r:id="rId116"/>
    <sheet name="0719 (입고)" sheetId="1860" r:id="rId117"/>
    <sheet name="0720 (입고)" sheetId="1861" r:id="rId118"/>
    <sheet name="0720" sheetId="1862" r:id="rId119"/>
    <sheet name="0721 (입고)" sheetId="1863" r:id="rId120"/>
    <sheet name="0721" sheetId="1864" r:id="rId121"/>
    <sheet name="0723" sheetId="1865" r:id="rId122"/>
    <sheet name="0724 (입고)" sheetId="1866" r:id="rId123"/>
    <sheet name="0728" sheetId="1867" r:id="rId124"/>
    <sheet name="0730 (입고)" sheetId="1868" r:id="rId125"/>
    <sheet name="0731" sheetId="1873" r:id="rId126"/>
    <sheet name="0801" sheetId="1875" r:id="rId127"/>
    <sheet name="0805" sheetId="1874" r:id="rId128"/>
    <sheet name="0806" sheetId="1876" r:id="rId129"/>
    <sheet name="0807" sheetId="1877" r:id="rId130"/>
    <sheet name="0811" sheetId="1878" r:id="rId131"/>
    <sheet name="0816" sheetId="1879" r:id="rId132"/>
    <sheet name="0818 (입고)" sheetId="1880" r:id="rId133"/>
    <sheet name="0818" sheetId="1881" r:id="rId134"/>
    <sheet name="0819 (입고)" sheetId="1882" r:id="rId135"/>
    <sheet name="0819" sheetId="1883" r:id="rId136"/>
    <sheet name="0820" sheetId="1884" r:id="rId137"/>
    <sheet name="0821" sheetId="1885" r:id="rId138"/>
    <sheet name="0822 (입고)" sheetId="1886" r:id="rId139"/>
    <sheet name="0822" sheetId="1887" r:id="rId140"/>
    <sheet name="0825 (입고)" sheetId="1888" r:id="rId141"/>
    <sheet name="0825" sheetId="1889" r:id="rId142"/>
    <sheet name="0829 (입고)" sheetId="1890" r:id="rId143"/>
    <sheet name="0829" sheetId="1891" r:id="rId144"/>
    <sheet name="0831 (입고)" sheetId="1892" r:id="rId145"/>
    <sheet name="0831" sheetId="1893" r:id="rId146"/>
    <sheet name="0904 (입고)" sheetId="1894" r:id="rId147"/>
  </sheets>
  <definedNames>
    <definedName name="_xlnm.Print_Area" localSheetId="14">'0105'!$B$1:$P$44</definedName>
    <definedName name="_xlnm.Print_Area" localSheetId="15">'0113'!$B$1:$P$44</definedName>
    <definedName name="_xlnm.Print_Area" localSheetId="16">'0114'!$B$1:$P$44</definedName>
    <definedName name="_xlnm.Print_Area" localSheetId="17">'0115'!$B$1:$P$44</definedName>
    <definedName name="_xlnm.Print_Area" localSheetId="18">'0116'!$B$1:$P$44</definedName>
    <definedName name="_xlnm.Print_Area" localSheetId="19">'0120'!$B$1:$P$44</definedName>
    <definedName name="_xlnm.Print_Area" localSheetId="20">'0205'!$B$1:$P$44</definedName>
    <definedName name="_xlnm.Print_Area" localSheetId="21">'0210'!$B$1:$P$44</definedName>
    <definedName name="_xlnm.Print_Area" localSheetId="22">'0210 (입고)'!$B$1:$P$44</definedName>
    <definedName name="_xlnm.Print_Area" localSheetId="23">'0212'!$B$1:$P$44</definedName>
    <definedName name="_xlnm.Print_Area" localSheetId="24">'0212 (입고)'!$B$1:$P$44</definedName>
    <definedName name="_xlnm.Print_Area" localSheetId="25">'0213'!$B$1:$P$44</definedName>
    <definedName name="_xlnm.Print_Area" localSheetId="26">'0213 (입고)'!$B$1:$P$44</definedName>
    <definedName name="_xlnm.Print_Area" localSheetId="27">'0214 (입고)'!$B$1:$P$44</definedName>
    <definedName name="_xlnm.Print_Area" localSheetId="28">'0224'!$B$1:$P$44</definedName>
    <definedName name="_xlnm.Print_Area" localSheetId="29">'0225'!$B$1:$P$44</definedName>
    <definedName name="_xlnm.Print_Area" localSheetId="30">'0227 (입고)'!$B$1:$P$44</definedName>
    <definedName name="_xlnm.Print_Area" localSheetId="31">'0228'!$B$1:$P$44</definedName>
    <definedName name="_xlnm.Print_Area" localSheetId="32">'0228 (입고)'!$B$1:$P$44</definedName>
    <definedName name="_xlnm.Print_Area" localSheetId="33">'0304 (입고)'!$B$1:$P$44</definedName>
    <definedName name="_xlnm.Print_Area" localSheetId="35">'0305'!$B$1:$P$44</definedName>
    <definedName name="_xlnm.Print_Area" localSheetId="34">'0305 (입고)'!$B$1:$P$44</definedName>
    <definedName name="_xlnm.Print_Area" localSheetId="36">'0311'!$B$1:$P$44</definedName>
    <definedName name="_xlnm.Print_Area" localSheetId="37">'0313 (입고)'!$B$1:$P$44</definedName>
    <definedName name="_xlnm.Print_Area" localSheetId="38">'0314 (입고)'!$B$1:$P$44</definedName>
    <definedName name="_xlnm.Print_Area" localSheetId="39">'0318'!$B$1:$P$44</definedName>
    <definedName name="_xlnm.Print_Area" localSheetId="41">'0319'!$B$1:$P$44</definedName>
    <definedName name="_xlnm.Print_Area" localSheetId="40">'0319 (입고)'!$B$1:$P$44</definedName>
    <definedName name="_xlnm.Print_Area" localSheetId="43">'0320'!$B$1:$P$44</definedName>
    <definedName name="_xlnm.Print_Area" localSheetId="42">'0320 (입고)'!$B$1:$P$44</definedName>
    <definedName name="_xlnm.Print_Area" localSheetId="45">'0321'!$B$1:$P$44</definedName>
    <definedName name="_xlnm.Print_Area" localSheetId="44">'0321 (입고)'!$B$1:$P$44</definedName>
    <definedName name="_xlnm.Print_Area" localSheetId="46">'0323 (입고)'!$B$1:$P$44</definedName>
    <definedName name="_xlnm.Print_Area" localSheetId="47">'0324'!$B$1:$P$44</definedName>
    <definedName name="_xlnm.Print_Area" localSheetId="49">'0325'!$B$1:$P$44</definedName>
    <definedName name="_xlnm.Print_Area" localSheetId="48">'0325 (입고)'!$B$1:$P$44</definedName>
    <definedName name="_xlnm.Print_Area" localSheetId="51">'0326'!$B$1:$P$44</definedName>
    <definedName name="_xlnm.Print_Area" localSheetId="50">'0326 (입고)'!$B$1:$P$44</definedName>
    <definedName name="_xlnm.Print_Area" localSheetId="52">'0327'!$B$1:$P$44</definedName>
    <definedName name="_xlnm.Print_Area" localSheetId="53">'0329'!$B$1:$P$44</definedName>
    <definedName name="_xlnm.Print_Area" localSheetId="55">'0331'!$B$1:$P$44</definedName>
    <definedName name="_xlnm.Print_Area" localSheetId="54">'0331 (입고)'!$B$1:$P$44</definedName>
    <definedName name="_xlnm.Print_Area" localSheetId="56">'0401'!$B$1:$P$44</definedName>
    <definedName name="_xlnm.Print_Area" localSheetId="57">'0402'!$B$1:$P$44</definedName>
    <definedName name="_xlnm.Print_Area" localSheetId="58">'0403 (입고)'!$B$1:$P$44</definedName>
    <definedName name="_xlnm.Print_Area" localSheetId="60">'0406'!$B$1:$P$44</definedName>
    <definedName name="_xlnm.Print_Area" localSheetId="59">'0406 (입고)'!$B$1:$P$44</definedName>
    <definedName name="_xlnm.Print_Area" localSheetId="62">'0407'!$B$1:$P$44</definedName>
    <definedName name="_xlnm.Print_Area" localSheetId="61">'0407 (입고)'!$B$1:$P$44</definedName>
    <definedName name="_xlnm.Print_Area" localSheetId="64">'0409'!$B$1:$P$44</definedName>
    <definedName name="_xlnm.Print_Area" localSheetId="63">'0409 (입고)'!$B$1:$P$44</definedName>
    <definedName name="_xlnm.Print_Area" localSheetId="65">'0413'!$B$1:$P$44</definedName>
    <definedName name="_xlnm.Print_Area" localSheetId="67">'0414'!$B$1:$P$44</definedName>
    <definedName name="_xlnm.Print_Area" localSheetId="66">'0414 (입고)'!$B$1:$P$44</definedName>
    <definedName name="_xlnm.Print_Area" localSheetId="69">'0417'!$B$1:$P$44</definedName>
    <definedName name="_xlnm.Print_Area" localSheetId="68">'0417 (입고)'!$B$1:$P$44</definedName>
    <definedName name="_xlnm.Print_Area" localSheetId="71">'0419'!$B$1:$P$44</definedName>
    <definedName name="_xlnm.Print_Area" localSheetId="70">'0419 (입고)'!$B$1:$P$44</definedName>
    <definedName name="_xlnm.Print_Area" localSheetId="72">'0422 (입고)'!$B$1:$P$44</definedName>
    <definedName name="_xlnm.Print_Area" localSheetId="73">'0423 (입고)'!$B$1:$P$44</definedName>
    <definedName name="_xlnm.Print_Area" localSheetId="74">'0427'!$B$1:$P$44</definedName>
    <definedName name="_xlnm.Print_Area" localSheetId="75">'0430'!$B$1:$P$44</definedName>
    <definedName name="_xlnm.Print_Area" localSheetId="76">'0501'!$B$1:$P$44</definedName>
    <definedName name="_xlnm.Print_Area" localSheetId="77">'0504 (입고)'!$B$1:$P$44</definedName>
    <definedName name="_xlnm.Print_Area" localSheetId="78">'0505 (입고)'!$B$1:$P$44</definedName>
    <definedName name="_xlnm.Print_Area" localSheetId="80">'0506'!$B$1:$P$44</definedName>
    <definedName name="_xlnm.Print_Area" localSheetId="79">'0506 (입고)'!$B$1:$P$44</definedName>
    <definedName name="_xlnm.Print_Area" localSheetId="82">'0507'!$B$1:$P$44</definedName>
    <definedName name="_xlnm.Print_Area" localSheetId="81">'0507 (입고)'!$B$1:$P$44</definedName>
    <definedName name="_xlnm.Print_Area" localSheetId="84">'0512'!$B$1:$P$44</definedName>
    <definedName name="_xlnm.Print_Area" localSheetId="83">'0512 (입고)'!$B$1:$P$44</definedName>
    <definedName name="_xlnm.Print_Area" localSheetId="85">'0514'!$B$1:$P$44</definedName>
    <definedName name="_xlnm.Print_Area" localSheetId="86">'0518 (증감처리)'!$B$1:$P$44</definedName>
    <definedName name="_xlnm.Print_Area" localSheetId="88">'0519'!$B$1:$P$44</definedName>
    <definedName name="_xlnm.Print_Area" localSheetId="87">'0519 (입고)'!$B$1:$P$44</definedName>
    <definedName name="_xlnm.Print_Area" localSheetId="90">'0520'!$B$1:$P$44</definedName>
    <definedName name="_xlnm.Print_Area" localSheetId="89">'0520 (입고)'!$B$1:$P$44</definedName>
    <definedName name="_xlnm.Print_Area" localSheetId="92">'0521'!$B$1:$P$44</definedName>
    <definedName name="_xlnm.Print_Area" localSheetId="91">'0521 (입고)'!$B$1:$P$44</definedName>
    <definedName name="_xlnm.Print_Area" localSheetId="93">'0526'!$B$1:$P$44</definedName>
    <definedName name="_xlnm.Print_Area" localSheetId="94">'0527'!$B$1:$P$44</definedName>
    <definedName name="_xlnm.Print_Area" localSheetId="95">'0528'!$B$1:$P$44</definedName>
    <definedName name="_xlnm.Print_Area" localSheetId="97">'0601'!$B$1:$P$44</definedName>
    <definedName name="_xlnm.Print_Area" localSheetId="96">'0601 (기초)'!$B$1:$P$44</definedName>
    <definedName name="_xlnm.Print_Area" localSheetId="98">'0602'!$B$1:$P$44</definedName>
    <definedName name="_xlnm.Print_Area" localSheetId="100">'0605'!$B$1:$P$44</definedName>
    <definedName name="_xlnm.Print_Area" localSheetId="99">'0605 (입고)'!$B$1:$P$44</definedName>
    <definedName name="_xlnm.Print_Area" localSheetId="101">'0608'!$B$1:$P$44</definedName>
    <definedName name="_xlnm.Print_Area" localSheetId="103">'0609'!$B$1:$P$44</definedName>
    <definedName name="_xlnm.Print_Area" localSheetId="102">'0609 (입고)'!$B$1:$P$44</definedName>
    <definedName name="_xlnm.Print_Area" localSheetId="104">'0617'!$B$1:$P$44</definedName>
    <definedName name="_xlnm.Print_Area" localSheetId="105">'0619'!$B$1:$P$44</definedName>
    <definedName name="_xlnm.Print_Area" localSheetId="106">'0622 (입고)'!$B$1:$P$44</definedName>
    <definedName name="_xlnm.Print_Area" localSheetId="107">'0627'!$B$1:$P$44</definedName>
    <definedName name="_xlnm.Print_Area" localSheetId="108">'0701 (기초)'!$B$1:$P$44</definedName>
    <definedName name="_xlnm.Print_Area" localSheetId="109">'0702'!$B$1:$P$44</definedName>
    <definedName name="_xlnm.Print_Area" localSheetId="110">'0710 (증감)'!$B$1:$P$44</definedName>
    <definedName name="_xlnm.Print_Area" localSheetId="111">'0715 (입고)'!$B$1:$P$44</definedName>
    <definedName name="_xlnm.Print_Area" localSheetId="113">'0717'!$B$1:$P$44</definedName>
    <definedName name="_xlnm.Print_Area" localSheetId="112">'0717 (입고)'!$B$1:$P$44</definedName>
    <definedName name="_xlnm.Print_Area" localSheetId="115">'0718'!$B$1:$P$44</definedName>
    <definedName name="_xlnm.Print_Area" localSheetId="114">'0718 (입고)'!$B$1:$P$44</definedName>
    <definedName name="_xlnm.Print_Area" localSheetId="116">'0719 (입고)'!$B$1:$P$44</definedName>
    <definedName name="_xlnm.Print_Area" localSheetId="118">'0720'!$B$1:$P$44</definedName>
    <definedName name="_xlnm.Print_Area" localSheetId="117">'0720 (입고)'!$B$1:$P$44</definedName>
    <definedName name="_xlnm.Print_Area" localSheetId="120">'0721'!$B$1:$P$44</definedName>
    <definedName name="_xlnm.Print_Area" localSheetId="119">'0721 (입고)'!$B$1:$P$44</definedName>
    <definedName name="_xlnm.Print_Area" localSheetId="121">'0723'!$B$1:$P$44</definedName>
    <definedName name="_xlnm.Print_Area" localSheetId="122">'0724 (입고)'!$B$1:$P$44</definedName>
    <definedName name="_xlnm.Print_Area" localSheetId="123">'0728'!$B$1:$P$44</definedName>
    <definedName name="_xlnm.Print_Area" localSheetId="124">'0730 (입고)'!$B$1:$P$44</definedName>
    <definedName name="_xlnm.Print_Area" localSheetId="125">'0731'!$B$1:$P$44</definedName>
    <definedName name="_xlnm.Print_Area" localSheetId="126">'0801'!$B$1:$P$44</definedName>
    <definedName name="_xlnm.Print_Area" localSheetId="127">'0805'!$B$1:$P$44</definedName>
    <definedName name="_xlnm.Print_Area" localSheetId="128">'0806'!$B$1:$P$44</definedName>
    <definedName name="_xlnm.Print_Area" localSheetId="129">'0807'!$B$1:$P$44</definedName>
    <definedName name="_xlnm.Print_Area" localSheetId="130">'0811'!$B$1:$P$44</definedName>
    <definedName name="_xlnm.Print_Area" localSheetId="131">'0816'!$B$1:$P$44</definedName>
    <definedName name="_xlnm.Print_Area" localSheetId="133">'0818'!$B$1:$P$44</definedName>
    <definedName name="_xlnm.Print_Area" localSheetId="132">'0818 (입고)'!$B$1:$P$44</definedName>
    <definedName name="_xlnm.Print_Area" localSheetId="135">'0819'!$B$1:$P$44</definedName>
    <definedName name="_xlnm.Print_Area" localSheetId="134">'0819 (입고)'!$B$1:$P$44</definedName>
    <definedName name="_xlnm.Print_Area" localSheetId="136">'0820'!$B$1:$P$44</definedName>
    <definedName name="_xlnm.Print_Area" localSheetId="137">'0821'!$B$1:$P$44</definedName>
    <definedName name="_xlnm.Print_Area" localSheetId="139">'0822'!$B$1:$P$44</definedName>
    <definedName name="_xlnm.Print_Area" localSheetId="138">'0822 (입고)'!$B$1:$P$44</definedName>
    <definedName name="_xlnm.Print_Area" localSheetId="141">'0825'!$B$1:$P$44</definedName>
    <definedName name="_xlnm.Print_Area" localSheetId="140">'0825 (입고)'!$B$1:$P$44</definedName>
    <definedName name="_xlnm.Print_Area" localSheetId="143">'0829'!$B$1:$P$44</definedName>
    <definedName name="_xlnm.Print_Area" localSheetId="142">'0829 (입고)'!$B$1:$P$44</definedName>
    <definedName name="_xlnm.Print_Area" localSheetId="145">'0831'!$B$1:$P$44</definedName>
    <definedName name="_xlnm.Print_Area" localSheetId="144">'0831 (입고)'!$B$1:$P$44</definedName>
    <definedName name="_xlnm.Print_Area" localSheetId="146">'0904 (입고)'!$B$1:$P$44</definedName>
    <definedName name="_xlnm.Print_Area" localSheetId="0">'1202'!$B$1:$P$44</definedName>
    <definedName name="_xlnm.Print_Area" localSheetId="1">'1204'!$B$1:$P$44</definedName>
    <definedName name="_xlnm.Print_Area" localSheetId="2">'1205'!$B$1:$P$44</definedName>
    <definedName name="_xlnm.Print_Area" localSheetId="3">'1208'!$B$1:$P$44</definedName>
    <definedName name="_xlnm.Print_Area" localSheetId="4">'1209'!$B$1:$P$44</definedName>
    <definedName name="_xlnm.Print_Area" localSheetId="5">'1210'!$B$1:$P$44</definedName>
    <definedName name="_xlnm.Print_Area" localSheetId="6">'1211'!$B$1:$P$44</definedName>
    <definedName name="_xlnm.Print_Area" localSheetId="7">'1212'!$B$1:$P$44</definedName>
    <definedName name="_xlnm.Print_Area" localSheetId="8">'1216'!$B$1:$P$44</definedName>
    <definedName name="_xlnm.Print_Area" localSheetId="9">'1217'!$B$1:$P$44</definedName>
    <definedName name="_xlnm.Print_Area" localSheetId="10">'1219'!$B$1:$P$44</definedName>
    <definedName name="_xlnm.Print_Area" localSheetId="11">'1224'!$B$1:$P$44</definedName>
    <definedName name="_xlnm.Print_Area" localSheetId="12">'1228'!$B$1:$P$44</definedName>
    <definedName name="_xlnm.Print_Area" localSheetId="13">'1230'!$B$1:$P$44</definedName>
    <definedName name="_xlnm.Print_Titles" localSheetId="14">'0105'!$1:$3</definedName>
    <definedName name="_xlnm.Print_Titles" localSheetId="15">'0113'!$1:$3</definedName>
    <definedName name="_xlnm.Print_Titles" localSheetId="16">'0114'!$1:$3</definedName>
    <definedName name="_xlnm.Print_Titles" localSheetId="17">'0115'!$1:$3</definedName>
    <definedName name="_xlnm.Print_Titles" localSheetId="18">'0116'!$1:$3</definedName>
    <definedName name="_xlnm.Print_Titles" localSheetId="19">'0120'!$1:$3</definedName>
    <definedName name="_xlnm.Print_Titles" localSheetId="20">'0205'!$1:$3</definedName>
    <definedName name="_xlnm.Print_Titles" localSheetId="21">'0210'!$1:$3</definedName>
    <definedName name="_xlnm.Print_Titles" localSheetId="22">'0210 (입고)'!$1:$3</definedName>
    <definedName name="_xlnm.Print_Titles" localSheetId="23">'0212'!$1:$3</definedName>
    <definedName name="_xlnm.Print_Titles" localSheetId="24">'0212 (입고)'!$1:$3</definedName>
    <definedName name="_xlnm.Print_Titles" localSheetId="25">'0213'!$1:$3</definedName>
    <definedName name="_xlnm.Print_Titles" localSheetId="26">'0213 (입고)'!$1:$3</definedName>
    <definedName name="_xlnm.Print_Titles" localSheetId="27">'0214 (입고)'!$1:$3</definedName>
    <definedName name="_xlnm.Print_Titles" localSheetId="28">'0224'!$1:$3</definedName>
    <definedName name="_xlnm.Print_Titles" localSheetId="29">'0225'!$1:$3</definedName>
    <definedName name="_xlnm.Print_Titles" localSheetId="30">'0227 (입고)'!$1:$3</definedName>
    <definedName name="_xlnm.Print_Titles" localSheetId="31">'0228'!$1:$3</definedName>
    <definedName name="_xlnm.Print_Titles" localSheetId="32">'0228 (입고)'!$1:$3</definedName>
    <definedName name="_xlnm.Print_Titles" localSheetId="33">'0304 (입고)'!$1:$3</definedName>
    <definedName name="_xlnm.Print_Titles" localSheetId="35">'0305'!$1:$3</definedName>
    <definedName name="_xlnm.Print_Titles" localSheetId="34">'0305 (입고)'!$1:$3</definedName>
    <definedName name="_xlnm.Print_Titles" localSheetId="36">'0311'!$1:$3</definedName>
    <definedName name="_xlnm.Print_Titles" localSheetId="37">'0313 (입고)'!$1:$3</definedName>
    <definedName name="_xlnm.Print_Titles" localSheetId="38">'0314 (입고)'!$1:$3</definedName>
    <definedName name="_xlnm.Print_Titles" localSheetId="39">'0318'!$1:$3</definedName>
    <definedName name="_xlnm.Print_Titles" localSheetId="41">'0319'!$1:$3</definedName>
    <definedName name="_xlnm.Print_Titles" localSheetId="40">'0319 (입고)'!$1:$3</definedName>
    <definedName name="_xlnm.Print_Titles" localSheetId="43">'0320'!$1:$3</definedName>
    <definedName name="_xlnm.Print_Titles" localSheetId="42">'0320 (입고)'!$1:$3</definedName>
    <definedName name="_xlnm.Print_Titles" localSheetId="45">'0321'!$1:$3</definedName>
    <definedName name="_xlnm.Print_Titles" localSheetId="44">'0321 (입고)'!$1:$3</definedName>
    <definedName name="_xlnm.Print_Titles" localSheetId="46">'0323 (입고)'!$1:$3</definedName>
    <definedName name="_xlnm.Print_Titles" localSheetId="47">'0324'!$1:$3</definedName>
    <definedName name="_xlnm.Print_Titles" localSheetId="49">'0325'!$1:$3</definedName>
    <definedName name="_xlnm.Print_Titles" localSheetId="48">'0325 (입고)'!$1:$3</definedName>
    <definedName name="_xlnm.Print_Titles" localSheetId="51">'0326'!$1:$3</definedName>
    <definedName name="_xlnm.Print_Titles" localSheetId="50">'0326 (입고)'!$1:$3</definedName>
    <definedName name="_xlnm.Print_Titles" localSheetId="52">'0327'!$1:$3</definedName>
    <definedName name="_xlnm.Print_Titles" localSheetId="53">'0329'!$1:$3</definedName>
    <definedName name="_xlnm.Print_Titles" localSheetId="55">'0331'!$1:$3</definedName>
    <definedName name="_xlnm.Print_Titles" localSheetId="54">'0331 (입고)'!$1:$3</definedName>
    <definedName name="_xlnm.Print_Titles" localSheetId="56">'0401'!$1:$3</definedName>
    <definedName name="_xlnm.Print_Titles" localSheetId="57">'0402'!$1:$3</definedName>
    <definedName name="_xlnm.Print_Titles" localSheetId="58">'0403 (입고)'!$1:$3</definedName>
    <definedName name="_xlnm.Print_Titles" localSheetId="60">'0406'!$1:$3</definedName>
    <definedName name="_xlnm.Print_Titles" localSheetId="59">'0406 (입고)'!$1:$3</definedName>
    <definedName name="_xlnm.Print_Titles" localSheetId="62">'0407'!$1:$3</definedName>
    <definedName name="_xlnm.Print_Titles" localSheetId="61">'0407 (입고)'!$1:$3</definedName>
    <definedName name="_xlnm.Print_Titles" localSheetId="64">'0409'!$1:$3</definedName>
    <definedName name="_xlnm.Print_Titles" localSheetId="63">'0409 (입고)'!$1:$3</definedName>
    <definedName name="_xlnm.Print_Titles" localSheetId="65">'0413'!$1:$3</definedName>
    <definedName name="_xlnm.Print_Titles" localSheetId="67">'0414'!$1:$3</definedName>
    <definedName name="_xlnm.Print_Titles" localSheetId="66">'0414 (입고)'!$1:$3</definedName>
    <definedName name="_xlnm.Print_Titles" localSheetId="69">'0417'!$1:$3</definedName>
    <definedName name="_xlnm.Print_Titles" localSheetId="68">'0417 (입고)'!$1:$3</definedName>
    <definedName name="_xlnm.Print_Titles" localSheetId="71">'0419'!$1:$3</definedName>
    <definedName name="_xlnm.Print_Titles" localSheetId="70">'0419 (입고)'!$1:$3</definedName>
    <definedName name="_xlnm.Print_Titles" localSheetId="72">'0422 (입고)'!$1:$3</definedName>
    <definedName name="_xlnm.Print_Titles" localSheetId="73">'0423 (입고)'!$1:$3</definedName>
    <definedName name="_xlnm.Print_Titles" localSheetId="74">'0427'!$1:$3</definedName>
    <definedName name="_xlnm.Print_Titles" localSheetId="75">'0430'!$1:$3</definedName>
    <definedName name="_xlnm.Print_Titles" localSheetId="76">'0501'!$1:$3</definedName>
    <definedName name="_xlnm.Print_Titles" localSheetId="77">'0504 (입고)'!$1:$3</definedName>
    <definedName name="_xlnm.Print_Titles" localSheetId="78">'0505 (입고)'!$1:$3</definedName>
    <definedName name="_xlnm.Print_Titles" localSheetId="80">'0506'!$1:$3</definedName>
    <definedName name="_xlnm.Print_Titles" localSheetId="79">'0506 (입고)'!$1:$3</definedName>
    <definedName name="_xlnm.Print_Titles" localSheetId="82">'0507'!$1:$3</definedName>
    <definedName name="_xlnm.Print_Titles" localSheetId="81">'0507 (입고)'!$1:$3</definedName>
    <definedName name="_xlnm.Print_Titles" localSheetId="84">'0512'!$1:$3</definedName>
    <definedName name="_xlnm.Print_Titles" localSheetId="83">'0512 (입고)'!$1:$3</definedName>
    <definedName name="_xlnm.Print_Titles" localSheetId="85">'0514'!$1:$3</definedName>
    <definedName name="_xlnm.Print_Titles" localSheetId="86">'0518 (증감처리)'!$1:$3</definedName>
    <definedName name="_xlnm.Print_Titles" localSheetId="88">'0519'!$1:$3</definedName>
    <definedName name="_xlnm.Print_Titles" localSheetId="87">'0519 (입고)'!$1:$3</definedName>
    <definedName name="_xlnm.Print_Titles" localSheetId="90">'0520'!$1:$3</definedName>
    <definedName name="_xlnm.Print_Titles" localSheetId="89">'0520 (입고)'!$1:$3</definedName>
    <definedName name="_xlnm.Print_Titles" localSheetId="92">'0521'!$1:$3</definedName>
    <definedName name="_xlnm.Print_Titles" localSheetId="91">'0521 (입고)'!$1:$3</definedName>
    <definedName name="_xlnm.Print_Titles" localSheetId="93">'0526'!$1:$3</definedName>
    <definedName name="_xlnm.Print_Titles" localSheetId="94">'0527'!$1:$3</definedName>
    <definedName name="_xlnm.Print_Titles" localSheetId="95">'0528'!$1:$3</definedName>
    <definedName name="_xlnm.Print_Titles" localSheetId="97">'0601'!$1:$3</definedName>
    <definedName name="_xlnm.Print_Titles" localSheetId="96">'0601 (기초)'!$1:$3</definedName>
    <definedName name="_xlnm.Print_Titles" localSheetId="98">'0602'!$1:$3</definedName>
    <definedName name="_xlnm.Print_Titles" localSheetId="100">'0605'!$1:$3</definedName>
    <definedName name="_xlnm.Print_Titles" localSheetId="99">'0605 (입고)'!$1:$3</definedName>
    <definedName name="_xlnm.Print_Titles" localSheetId="101">'0608'!$1:$3</definedName>
    <definedName name="_xlnm.Print_Titles" localSheetId="103">'0609'!$1:$3</definedName>
    <definedName name="_xlnm.Print_Titles" localSheetId="102">'0609 (입고)'!$1:$3</definedName>
    <definedName name="_xlnm.Print_Titles" localSheetId="104">'0617'!$1:$3</definedName>
    <definedName name="_xlnm.Print_Titles" localSheetId="105">'0619'!$1:$3</definedName>
    <definedName name="_xlnm.Print_Titles" localSheetId="106">'0622 (입고)'!$1:$3</definedName>
    <definedName name="_xlnm.Print_Titles" localSheetId="107">'0627'!$1:$3</definedName>
    <definedName name="_xlnm.Print_Titles" localSheetId="108">'0701 (기초)'!$1:$3</definedName>
    <definedName name="_xlnm.Print_Titles" localSheetId="109">'0702'!$1:$3</definedName>
    <definedName name="_xlnm.Print_Titles" localSheetId="110">'0710 (증감)'!$1:$3</definedName>
    <definedName name="_xlnm.Print_Titles" localSheetId="111">'0715 (입고)'!$1:$3</definedName>
    <definedName name="_xlnm.Print_Titles" localSheetId="113">'0717'!$1:$3</definedName>
    <definedName name="_xlnm.Print_Titles" localSheetId="112">'0717 (입고)'!$1:$3</definedName>
    <definedName name="_xlnm.Print_Titles" localSheetId="115">'0718'!$1:$3</definedName>
    <definedName name="_xlnm.Print_Titles" localSheetId="114">'0718 (입고)'!$1:$3</definedName>
    <definedName name="_xlnm.Print_Titles" localSheetId="116">'0719 (입고)'!$1:$3</definedName>
    <definedName name="_xlnm.Print_Titles" localSheetId="118">'0720'!$1:$3</definedName>
    <definedName name="_xlnm.Print_Titles" localSheetId="117">'0720 (입고)'!$1:$3</definedName>
    <definedName name="_xlnm.Print_Titles" localSheetId="120">'0721'!$1:$3</definedName>
    <definedName name="_xlnm.Print_Titles" localSheetId="119">'0721 (입고)'!$1:$3</definedName>
    <definedName name="_xlnm.Print_Titles" localSheetId="121">'0723'!$1:$3</definedName>
    <definedName name="_xlnm.Print_Titles" localSheetId="122">'0724 (입고)'!$1:$3</definedName>
    <definedName name="_xlnm.Print_Titles" localSheetId="123">'0728'!$1:$3</definedName>
    <definedName name="_xlnm.Print_Titles" localSheetId="124">'0730 (입고)'!$1:$3</definedName>
    <definedName name="_xlnm.Print_Titles" localSheetId="125">'0731'!$1:$3</definedName>
    <definedName name="_xlnm.Print_Titles" localSheetId="126">'0801'!$1:$3</definedName>
    <definedName name="_xlnm.Print_Titles" localSheetId="127">'0805'!$1:$3</definedName>
    <definedName name="_xlnm.Print_Titles" localSheetId="128">'0806'!$1:$3</definedName>
    <definedName name="_xlnm.Print_Titles" localSheetId="129">'0807'!$1:$3</definedName>
    <definedName name="_xlnm.Print_Titles" localSheetId="130">'0811'!$1:$3</definedName>
    <definedName name="_xlnm.Print_Titles" localSheetId="131">'0816'!$1:$3</definedName>
    <definedName name="_xlnm.Print_Titles" localSheetId="133">'0818'!$1:$3</definedName>
    <definedName name="_xlnm.Print_Titles" localSheetId="132">'0818 (입고)'!$1:$3</definedName>
    <definedName name="_xlnm.Print_Titles" localSheetId="135">'0819'!$1:$3</definedName>
    <definedName name="_xlnm.Print_Titles" localSheetId="134">'0819 (입고)'!$1:$3</definedName>
    <definedName name="_xlnm.Print_Titles" localSheetId="136">'0820'!$1:$3</definedName>
    <definedName name="_xlnm.Print_Titles" localSheetId="137">'0821'!$1:$3</definedName>
    <definedName name="_xlnm.Print_Titles" localSheetId="139">'0822'!$1:$3</definedName>
    <definedName name="_xlnm.Print_Titles" localSheetId="138">'0822 (입고)'!$1:$3</definedName>
    <definedName name="_xlnm.Print_Titles" localSheetId="141">'0825'!$1:$3</definedName>
    <definedName name="_xlnm.Print_Titles" localSheetId="140">'0825 (입고)'!$1:$3</definedName>
    <definedName name="_xlnm.Print_Titles" localSheetId="143">'0829'!$1:$3</definedName>
    <definedName name="_xlnm.Print_Titles" localSheetId="142">'0829 (입고)'!$1:$3</definedName>
    <definedName name="_xlnm.Print_Titles" localSheetId="145">'0831'!$1:$3</definedName>
    <definedName name="_xlnm.Print_Titles" localSheetId="144">'0831 (입고)'!$1:$3</definedName>
    <definedName name="_xlnm.Print_Titles" localSheetId="146">'0904 (입고)'!$1:$3</definedName>
    <definedName name="_xlnm.Print_Titles" localSheetId="0">'1202'!$1:$3</definedName>
    <definedName name="_xlnm.Print_Titles" localSheetId="1">'1204'!$1:$3</definedName>
    <definedName name="_xlnm.Print_Titles" localSheetId="2">'1205'!$1:$3</definedName>
    <definedName name="_xlnm.Print_Titles" localSheetId="3">'1208'!$1:$3</definedName>
    <definedName name="_xlnm.Print_Titles" localSheetId="4">'1209'!$1:$3</definedName>
    <definedName name="_xlnm.Print_Titles" localSheetId="5">'1210'!$1:$3</definedName>
    <definedName name="_xlnm.Print_Titles" localSheetId="6">'1211'!$1:$3</definedName>
    <definedName name="_xlnm.Print_Titles" localSheetId="7">'1212'!$1:$3</definedName>
    <definedName name="_xlnm.Print_Titles" localSheetId="8">'1216'!$1:$3</definedName>
    <definedName name="_xlnm.Print_Titles" localSheetId="9">'1217'!$1:$3</definedName>
    <definedName name="_xlnm.Print_Titles" localSheetId="10">'1219'!$1:$3</definedName>
    <definedName name="_xlnm.Print_Titles" localSheetId="11">'1224'!$1:$3</definedName>
    <definedName name="_xlnm.Print_Titles" localSheetId="12">'1228'!$1:$3</definedName>
    <definedName name="_xlnm.Print_Titles" localSheetId="13">'1230'!$1:$3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4" i="1894" l="1"/>
  <c r="F43" i="1894"/>
  <c r="O30" i="1894"/>
  <c r="O29" i="1894"/>
  <c r="L23" i="1894"/>
  <c r="H44" i="1894" s="1"/>
  <c r="D23" i="1894"/>
  <c r="H43" i="1894" s="1"/>
  <c r="P22" i="1894"/>
  <c r="O22" i="1894"/>
  <c r="N22" i="1894"/>
  <c r="H22" i="1894"/>
  <c r="G22" i="1894"/>
  <c r="F22" i="1894"/>
  <c r="P21" i="1894"/>
  <c r="O21" i="1894"/>
  <c r="N21" i="1894"/>
  <c r="H21" i="1894"/>
  <c r="G21" i="1894"/>
  <c r="F21" i="1894"/>
  <c r="P20" i="1894"/>
  <c r="O20" i="1894"/>
  <c r="N20" i="1894"/>
  <c r="H20" i="1894"/>
  <c r="G20" i="1894"/>
  <c r="F20" i="1894"/>
  <c r="P19" i="1894"/>
  <c r="O19" i="1894"/>
  <c r="N19" i="1894"/>
  <c r="H19" i="1894"/>
  <c r="G19" i="1894"/>
  <c r="F19" i="1894"/>
  <c r="P18" i="1894"/>
  <c r="O18" i="1894"/>
  <c r="N18" i="1894"/>
  <c r="H18" i="1894"/>
  <c r="G18" i="1894"/>
  <c r="F18" i="1894"/>
  <c r="P17" i="1894"/>
  <c r="O17" i="1894"/>
  <c r="N17" i="1894"/>
  <c r="H17" i="1894"/>
  <c r="G17" i="1894"/>
  <c r="F17" i="1894"/>
  <c r="P16" i="1894"/>
  <c r="O16" i="1894"/>
  <c r="N16" i="1894"/>
  <c r="H16" i="1894"/>
  <c r="H23" i="1894" s="1"/>
  <c r="G16" i="1894"/>
  <c r="F16" i="1894"/>
  <c r="P23" i="1894" l="1"/>
  <c r="F44" i="1893" l="1"/>
  <c r="F43" i="1893"/>
  <c r="O30" i="1893"/>
  <c r="O29" i="1893"/>
  <c r="L23" i="1893"/>
  <c r="H44" i="1893" s="1"/>
  <c r="D23" i="1893"/>
  <c r="H43" i="1893" s="1"/>
  <c r="P22" i="1893"/>
  <c r="O22" i="1893"/>
  <c r="N22" i="1893"/>
  <c r="H22" i="1893"/>
  <c r="G22" i="1893"/>
  <c r="F22" i="1893"/>
  <c r="P21" i="1893"/>
  <c r="O21" i="1893"/>
  <c r="N21" i="1893"/>
  <c r="H21" i="1893"/>
  <c r="G21" i="1893"/>
  <c r="F21" i="1893"/>
  <c r="P20" i="1893"/>
  <c r="O20" i="1893"/>
  <c r="N20" i="1893"/>
  <c r="H20" i="1893"/>
  <c r="G20" i="1893"/>
  <c r="F20" i="1893"/>
  <c r="P19" i="1893"/>
  <c r="O19" i="1893"/>
  <c r="N19" i="1893"/>
  <c r="H19" i="1893"/>
  <c r="G19" i="1893"/>
  <c r="F19" i="1893"/>
  <c r="P18" i="1893"/>
  <c r="O18" i="1893"/>
  <c r="N18" i="1893"/>
  <c r="H18" i="1893"/>
  <c r="G18" i="1893"/>
  <c r="F18" i="1893"/>
  <c r="H17" i="1893"/>
  <c r="G17" i="1893"/>
  <c r="F17" i="1893"/>
  <c r="H16" i="1893"/>
  <c r="G16" i="1893"/>
  <c r="F16" i="1893"/>
  <c r="F44" i="1892"/>
  <c r="F43" i="1892"/>
  <c r="O30" i="1892"/>
  <c r="O29" i="1892"/>
  <c r="L23" i="1892"/>
  <c r="H44" i="1892" s="1"/>
  <c r="D23" i="1892"/>
  <c r="H43" i="1892" s="1"/>
  <c r="P22" i="1892"/>
  <c r="O22" i="1892"/>
  <c r="N22" i="1892"/>
  <c r="H22" i="1892"/>
  <c r="G22" i="1892"/>
  <c r="F22" i="1892"/>
  <c r="P21" i="1892"/>
  <c r="O21" i="1892"/>
  <c r="N21" i="1892"/>
  <c r="H21" i="1892"/>
  <c r="G21" i="1892"/>
  <c r="F21" i="1892"/>
  <c r="P20" i="1892"/>
  <c r="O20" i="1892"/>
  <c r="N20" i="1892"/>
  <c r="H20" i="1892"/>
  <c r="G20" i="1892"/>
  <c r="F20" i="1892"/>
  <c r="P19" i="1892"/>
  <c r="O19" i="1892"/>
  <c r="N19" i="1892"/>
  <c r="H19" i="1892"/>
  <c r="G19" i="1892"/>
  <c r="F19" i="1892"/>
  <c r="P18" i="1892"/>
  <c r="O18" i="1892"/>
  <c r="N18" i="1892"/>
  <c r="H18" i="1892"/>
  <c r="G18" i="1892"/>
  <c r="F18" i="1892"/>
  <c r="P17" i="1892"/>
  <c r="O17" i="1892"/>
  <c r="N17" i="1892"/>
  <c r="H17" i="1892"/>
  <c r="G17" i="1892"/>
  <c r="F17" i="1892"/>
  <c r="P16" i="1892"/>
  <c r="O16" i="1892"/>
  <c r="N16" i="1892"/>
  <c r="H16" i="1892"/>
  <c r="G16" i="1892"/>
  <c r="F16" i="1892"/>
  <c r="F44" i="1891"/>
  <c r="F43" i="1891"/>
  <c r="O30" i="1891"/>
  <c r="O29" i="1891"/>
  <c r="L23" i="1891"/>
  <c r="H44" i="1891" s="1"/>
  <c r="D23" i="1891"/>
  <c r="H43" i="1891" s="1"/>
  <c r="P22" i="1891"/>
  <c r="O22" i="1891"/>
  <c r="N22" i="1891"/>
  <c r="H22" i="1891"/>
  <c r="G22" i="1891"/>
  <c r="F22" i="1891"/>
  <c r="P21" i="1891"/>
  <c r="O21" i="1891"/>
  <c r="N21" i="1891"/>
  <c r="H21" i="1891"/>
  <c r="G21" i="1891"/>
  <c r="F21" i="1891"/>
  <c r="P20" i="1891"/>
  <c r="O20" i="1891"/>
  <c r="N20" i="1891"/>
  <c r="H20" i="1891"/>
  <c r="G20" i="1891"/>
  <c r="F20" i="1891"/>
  <c r="P19" i="1891"/>
  <c r="O19" i="1891"/>
  <c r="N19" i="1891"/>
  <c r="H19" i="1891"/>
  <c r="G19" i="1891"/>
  <c r="F19" i="1891"/>
  <c r="P18" i="1891"/>
  <c r="O18" i="1891"/>
  <c r="N18" i="1891"/>
  <c r="H18" i="1891"/>
  <c r="G18" i="1891"/>
  <c r="F18" i="1891"/>
  <c r="H17" i="1891"/>
  <c r="G17" i="1891"/>
  <c r="F17" i="1891"/>
  <c r="H16" i="1891"/>
  <c r="H23" i="1891" s="1"/>
  <c r="G16" i="1891"/>
  <c r="F16" i="1891"/>
  <c r="F44" i="1890"/>
  <c r="F43" i="1890"/>
  <c r="O30" i="1890"/>
  <c r="O29" i="1890"/>
  <c r="L23" i="1890"/>
  <c r="H44" i="1890" s="1"/>
  <c r="D23" i="1890"/>
  <c r="H43" i="1890" s="1"/>
  <c r="P22" i="1890"/>
  <c r="O22" i="1890"/>
  <c r="N22" i="1890"/>
  <c r="H22" i="1890"/>
  <c r="G22" i="1890"/>
  <c r="F22" i="1890"/>
  <c r="P21" i="1890"/>
  <c r="O21" i="1890"/>
  <c r="N21" i="1890"/>
  <c r="H21" i="1890"/>
  <c r="G21" i="1890"/>
  <c r="F21" i="1890"/>
  <c r="P20" i="1890"/>
  <c r="O20" i="1890"/>
  <c r="N20" i="1890"/>
  <c r="H20" i="1890"/>
  <c r="G20" i="1890"/>
  <c r="F20" i="1890"/>
  <c r="P19" i="1890"/>
  <c r="O19" i="1890"/>
  <c r="N19" i="1890"/>
  <c r="H19" i="1890"/>
  <c r="G19" i="1890"/>
  <c r="F19" i="1890"/>
  <c r="P18" i="1890"/>
  <c r="O18" i="1890"/>
  <c r="N18" i="1890"/>
  <c r="H18" i="1890"/>
  <c r="G18" i="1890"/>
  <c r="F18" i="1890"/>
  <c r="P17" i="1890"/>
  <c r="O17" i="1890"/>
  <c r="N17" i="1890"/>
  <c r="H17" i="1890"/>
  <c r="G17" i="1890"/>
  <c r="F17" i="1890"/>
  <c r="P16" i="1890"/>
  <c r="O16" i="1890"/>
  <c r="N16" i="1890"/>
  <c r="H16" i="1890"/>
  <c r="G16" i="1890"/>
  <c r="F16" i="1890"/>
  <c r="F44" i="1889"/>
  <c r="F43" i="1889"/>
  <c r="O30" i="1889"/>
  <c r="O29" i="1889"/>
  <c r="L23" i="1889"/>
  <c r="H44" i="1889" s="1"/>
  <c r="D23" i="1889"/>
  <c r="H43" i="1889" s="1"/>
  <c r="P22" i="1889"/>
  <c r="O22" i="1889"/>
  <c r="N22" i="1889"/>
  <c r="H22" i="1889"/>
  <c r="G22" i="1889"/>
  <c r="F22" i="1889"/>
  <c r="P21" i="1889"/>
  <c r="O21" i="1889"/>
  <c r="N21" i="1889"/>
  <c r="H21" i="1889"/>
  <c r="G21" i="1889"/>
  <c r="F21" i="1889"/>
  <c r="P20" i="1889"/>
  <c r="O20" i="1889"/>
  <c r="N20" i="1889"/>
  <c r="H20" i="1889"/>
  <c r="G20" i="1889"/>
  <c r="F20" i="1889"/>
  <c r="P19" i="1889"/>
  <c r="O19" i="1889"/>
  <c r="N19" i="1889"/>
  <c r="H19" i="1889"/>
  <c r="G19" i="1889"/>
  <c r="F19" i="1889"/>
  <c r="H18" i="1889"/>
  <c r="G18" i="1889"/>
  <c r="F18" i="1889"/>
  <c r="H17" i="1889"/>
  <c r="G17" i="1889"/>
  <c r="F17" i="1889"/>
  <c r="F44" i="1888"/>
  <c r="F43" i="1888"/>
  <c r="O30" i="1888"/>
  <c r="O29" i="1888"/>
  <c r="L23" i="1888"/>
  <c r="H44" i="1888" s="1"/>
  <c r="D23" i="1888"/>
  <c r="H43" i="1888" s="1"/>
  <c r="P22" i="1888"/>
  <c r="O22" i="1888"/>
  <c r="N22" i="1888"/>
  <c r="H22" i="1888"/>
  <c r="G22" i="1888"/>
  <c r="F22" i="1888"/>
  <c r="P21" i="1888"/>
  <c r="O21" i="1888"/>
  <c r="N21" i="1888"/>
  <c r="H21" i="1888"/>
  <c r="G21" i="1888"/>
  <c r="F21" i="1888"/>
  <c r="P20" i="1888"/>
  <c r="O20" i="1888"/>
  <c r="N20" i="1888"/>
  <c r="H20" i="1888"/>
  <c r="G20" i="1888"/>
  <c r="F20" i="1888"/>
  <c r="P19" i="1888"/>
  <c r="O19" i="1888"/>
  <c r="N19" i="1888"/>
  <c r="H19" i="1888"/>
  <c r="G19" i="1888"/>
  <c r="F19" i="1888"/>
  <c r="H18" i="1888"/>
  <c r="G18" i="1888"/>
  <c r="F18" i="1888"/>
  <c r="H17" i="1888"/>
  <c r="G17" i="1888"/>
  <c r="F17" i="1888"/>
  <c r="F44" i="1887"/>
  <c r="F43" i="1887"/>
  <c r="O30" i="1887"/>
  <c r="O29" i="1887"/>
  <c r="L23" i="1887"/>
  <c r="H44" i="1887" s="1"/>
  <c r="D23" i="1887"/>
  <c r="H43" i="1887" s="1"/>
  <c r="P22" i="1887"/>
  <c r="O22" i="1887"/>
  <c r="N22" i="1887"/>
  <c r="H22" i="1887"/>
  <c r="G22" i="1887"/>
  <c r="F22" i="1887"/>
  <c r="P21" i="1887"/>
  <c r="O21" i="1887"/>
  <c r="N21" i="1887"/>
  <c r="H21" i="1887"/>
  <c r="G21" i="1887"/>
  <c r="F21" i="1887"/>
  <c r="P20" i="1887"/>
  <c r="O20" i="1887"/>
  <c r="N20" i="1887"/>
  <c r="H20" i="1887"/>
  <c r="G20" i="1887"/>
  <c r="F20" i="1887"/>
  <c r="P19" i="1887"/>
  <c r="O19" i="1887"/>
  <c r="N19" i="1887"/>
  <c r="H19" i="1887"/>
  <c r="G19" i="1887"/>
  <c r="F19" i="1887"/>
  <c r="H18" i="1887"/>
  <c r="G18" i="1887"/>
  <c r="F18" i="1887"/>
  <c r="H17" i="1887"/>
  <c r="G17" i="1887"/>
  <c r="F17" i="1887"/>
  <c r="F44" i="1886"/>
  <c r="F43" i="1886"/>
  <c r="O30" i="1886"/>
  <c r="O29" i="1886"/>
  <c r="L23" i="1886"/>
  <c r="H44" i="1886" s="1"/>
  <c r="D23" i="1886"/>
  <c r="H43" i="1886" s="1"/>
  <c r="P22" i="1886"/>
  <c r="O22" i="1886"/>
  <c r="N22" i="1886"/>
  <c r="H22" i="1886"/>
  <c r="G22" i="1886"/>
  <c r="F22" i="1886"/>
  <c r="P21" i="1886"/>
  <c r="O21" i="1886"/>
  <c r="N21" i="1886"/>
  <c r="H21" i="1886"/>
  <c r="G21" i="1886"/>
  <c r="F21" i="1886"/>
  <c r="P20" i="1886"/>
  <c r="O20" i="1886"/>
  <c r="N20" i="1886"/>
  <c r="H20" i="1886"/>
  <c r="G20" i="1886"/>
  <c r="F20" i="1886"/>
  <c r="P19" i="1886"/>
  <c r="O19" i="1886"/>
  <c r="N19" i="1886"/>
  <c r="H19" i="1886"/>
  <c r="G19" i="1886"/>
  <c r="F19" i="1886"/>
  <c r="P18" i="1886"/>
  <c r="O18" i="1886"/>
  <c r="N18" i="1886"/>
  <c r="H18" i="1886"/>
  <c r="G18" i="1886"/>
  <c r="F18" i="1886"/>
  <c r="P17" i="1886"/>
  <c r="O17" i="1886"/>
  <c r="N17" i="1886"/>
  <c r="H17" i="1886"/>
  <c r="G17" i="1886"/>
  <c r="F17" i="1886"/>
  <c r="P16" i="1886"/>
  <c r="O16" i="1886"/>
  <c r="N16" i="1886"/>
  <c r="H16" i="1886"/>
  <c r="H23" i="1886" s="1"/>
  <c r="G16" i="1886"/>
  <c r="F16" i="1886"/>
  <c r="F44" i="1885"/>
  <c r="F43" i="1885"/>
  <c r="O30" i="1885"/>
  <c r="O29" i="1885"/>
  <c r="L23" i="1885"/>
  <c r="H44" i="1885" s="1"/>
  <c r="D23" i="1885"/>
  <c r="H43" i="1885" s="1"/>
  <c r="P22" i="1885"/>
  <c r="O22" i="1885"/>
  <c r="N22" i="1885"/>
  <c r="H22" i="1885"/>
  <c r="G22" i="1885"/>
  <c r="F22" i="1885"/>
  <c r="P21" i="1885"/>
  <c r="O21" i="1885"/>
  <c r="N21" i="1885"/>
  <c r="H21" i="1885"/>
  <c r="G21" i="1885"/>
  <c r="F21" i="1885"/>
  <c r="P20" i="1885"/>
  <c r="O20" i="1885"/>
  <c r="N20" i="1885"/>
  <c r="H20" i="1885"/>
  <c r="G20" i="1885"/>
  <c r="F20" i="1885"/>
  <c r="P19" i="1885"/>
  <c r="O19" i="1885"/>
  <c r="N19" i="1885"/>
  <c r="H19" i="1885"/>
  <c r="G19" i="1885"/>
  <c r="F19" i="1885"/>
  <c r="P18" i="1885"/>
  <c r="O18" i="1885"/>
  <c r="N18" i="1885"/>
  <c r="H18" i="1885"/>
  <c r="G18" i="1885"/>
  <c r="F18" i="1885"/>
  <c r="P17" i="1885"/>
  <c r="O17" i="1885"/>
  <c r="N17" i="1885"/>
  <c r="H17" i="1885"/>
  <c r="G17" i="1885"/>
  <c r="F17" i="1885"/>
  <c r="H16" i="1885"/>
  <c r="H23" i="1885" s="1"/>
  <c r="G16" i="1885"/>
  <c r="F16" i="1885"/>
  <c r="F44" i="1884"/>
  <c r="F43" i="1884"/>
  <c r="O30" i="1884"/>
  <c r="O29" i="1884"/>
  <c r="L23" i="1884"/>
  <c r="H44" i="1884" s="1"/>
  <c r="D23" i="1884"/>
  <c r="H43" i="1884" s="1"/>
  <c r="P22" i="1884"/>
  <c r="O22" i="1884"/>
  <c r="N22" i="1884"/>
  <c r="H22" i="1884"/>
  <c r="G22" i="1884"/>
  <c r="F22" i="1884"/>
  <c r="P21" i="1884"/>
  <c r="O21" i="1884"/>
  <c r="N21" i="1884"/>
  <c r="H21" i="1884"/>
  <c r="G21" i="1884"/>
  <c r="F21" i="1884"/>
  <c r="P20" i="1884"/>
  <c r="O20" i="1884"/>
  <c r="N20" i="1884"/>
  <c r="H20" i="1884"/>
  <c r="G20" i="1884"/>
  <c r="F20" i="1884"/>
  <c r="P19" i="1884"/>
  <c r="O19" i="1884"/>
  <c r="N19" i="1884"/>
  <c r="H19" i="1884"/>
  <c r="G19" i="1884"/>
  <c r="F19" i="1884"/>
  <c r="P18" i="1884"/>
  <c r="O18" i="1884"/>
  <c r="N18" i="1884"/>
  <c r="H18" i="1884"/>
  <c r="G18" i="1884"/>
  <c r="F18" i="1884"/>
  <c r="P17" i="1884"/>
  <c r="O17" i="1884"/>
  <c r="N17" i="1884"/>
  <c r="H17" i="1884"/>
  <c r="G17" i="1884"/>
  <c r="F17" i="1884"/>
  <c r="H16" i="1884"/>
  <c r="H23" i="1884" s="1"/>
  <c r="G16" i="1884"/>
  <c r="F16" i="1884"/>
  <c r="F44" i="1883"/>
  <c r="F43" i="1883"/>
  <c r="O30" i="1883"/>
  <c r="O29" i="1883"/>
  <c r="L23" i="1883"/>
  <c r="H44" i="1883" s="1"/>
  <c r="D23" i="1883"/>
  <c r="H43" i="1883" s="1"/>
  <c r="P22" i="1883"/>
  <c r="O22" i="1883"/>
  <c r="N22" i="1883"/>
  <c r="H22" i="1883"/>
  <c r="G22" i="1883"/>
  <c r="F22" i="1883"/>
  <c r="P21" i="1883"/>
  <c r="O21" i="1883"/>
  <c r="N21" i="1883"/>
  <c r="H21" i="1883"/>
  <c r="G21" i="1883"/>
  <c r="F21" i="1883"/>
  <c r="P20" i="1883"/>
  <c r="O20" i="1883"/>
  <c r="N20" i="1883"/>
  <c r="H20" i="1883"/>
  <c r="G20" i="1883"/>
  <c r="F20" i="1883"/>
  <c r="P19" i="1883"/>
  <c r="O19" i="1883"/>
  <c r="N19" i="1883"/>
  <c r="H19" i="1883"/>
  <c r="G19" i="1883"/>
  <c r="F19" i="1883"/>
  <c r="P18" i="1883"/>
  <c r="O18" i="1883"/>
  <c r="N18" i="1883"/>
  <c r="H18" i="1883"/>
  <c r="G18" i="1883"/>
  <c r="F18" i="1883"/>
  <c r="H17" i="1883"/>
  <c r="G17" i="1883"/>
  <c r="F17" i="1883"/>
  <c r="H16" i="1883"/>
  <c r="H23" i="1883" s="1"/>
  <c r="G16" i="1883"/>
  <c r="F16" i="1883"/>
  <c r="F44" i="1882"/>
  <c r="F43" i="1882"/>
  <c r="O30" i="1882"/>
  <c r="O29" i="1882"/>
  <c r="L23" i="1882"/>
  <c r="H44" i="1882" s="1"/>
  <c r="D23" i="1882"/>
  <c r="H43" i="1882" s="1"/>
  <c r="P22" i="1882"/>
  <c r="O22" i="1882"/>
  <c r="N22" i="1882"/>
  <c r="H22" i="1882"/>
  <c r="G22" i="1882"/>
  <c r="F22" i="1882"/>
  <c r="P21" i="1882"/>
  <c r="O21" i="1882"/>
  <c r="N21" i="1882"/>
  <c r="H21" i="1882"/>
  <c r="G21" i="1882"/>
  <c r="F21" i="1882"/>
  <c r="P20" i="1882"/>
  <c r="O20" i="1882"/>
  <c r="N20" i="1882"/>
  <c r="H20" i="1882"/>
  <c r="G20" i="1882"/>
  <c r="F20" i="1882"/>
  <c r="P19" i="1882"/>
  <c r="O19" i="1882"/>
  <c r="N19" i="1882"/>
  <c r="H19" i="1882"/>
  <c r="G19" i="1882"/>
  <c r="F19" i="1882"/>
  <c r="P18" i="1882"/>
  <c r="O18" i="1882"/>
  <c r="N18" i="1882"/>
  <c r="H18" i="1882"/>
  <c r="G18" i="1882"/>
  <c r="F18" i="1882"/>
  <c r="P17" i="1882"/>
  <c r="O17" i="1882"/>
  <c r="N17" i="1882"/>
  <c r="H17" i="1882"/>
  <c r="G17" i="1882"/>
  <c r="F17" i="1882"/>
  <c r="P16" i="1882"/>
  <c r="O16" i="1882"/>
  <c r="N16" i="1882"/>
  <c r="H16" i="1882"/>
  <c r="H23" i="1882" s="1"/>
  <c r="G16" i="1882"/>
  <c r="F16" i="1882"/>
  <c r="F44" i="1881"/>
  <c r="F43" i="1881"/>
  <c r="O30" i="1881"/>
  <c r="O29" i="1881"/>
  <c r="L23" i="1881"/>
  <c r="H44" i="1881" s="1"/>
  <c r="D23" i="1881"/>
  <c r="H43" i="1881" s="1"/>
  <c r="P22" i="1881"/>
  <c r="O22" i="1881"/>
  <c r="N22" i="1881"/>
  <c r="H22" i="1881"/>
  <c r="G22" i="1881"/>
  <c r="F22" i="1881"/>
  <c r="P21" i="1881"/>
  <c r="O21" i="1881"/>
  <c r="N21" i="1881"/>
  <c r="H21" i="1881"/>
  <c r="G21" i="1881"/>
  <c r="F21" i="1881"/>
  <c r="P20" i="1881"/>
  <c r="O20" i="1881"/>
  <c r="N20" i="1881"/>
  <c r="H20" i="1881"/>
  <c r="G20" i="1881"/>
  <c r="F20" i="1881"/>
  <c r="P19" i="1881"/>
  <c r="O19" i="1881"/>
  <c r="N19" i="1881"/>
  <c r="H19" i="1881"/>
  <c r="G19" i="1881"/>
  <c r="F19" i="1881"/>
  <c r="P18" i="1881"/>
  <c r="O18" i="1881"/>
  <c r="N18" i="1881"/>
  <c r="H18" i="1881"/>
  <c r="G18" i="1881"/>
  <c r="F18" i="1881"/>
  <c r="H17" i="1881"/>
  <c r="G17" i="1881"/>
  <c r="F17" i="1881"/>
  <c r="H16" i="1881"/>
  <c r="H23" i="1881" s="1"/>
  <c r="G16" i="1881"/>
  <c r="F16" i="1881"/>
  <c r="F44" i="1880"/>
  <c r="F43" i="1880"/>
  <c r="O30" i="1880"/>
  <c r="O29" i="1880"/>
  <c r="L23" i="1880"/>
  <c r="H44" i="1880" s="1"/>
  <c r="D23" i="1880"/>
  <c r="H43" i="1880" s="1"/>
  <c r="P22" i="1880"/>
  <c r="O22" i="1880"/>
  <c r="N22" i="1880"/>
  <c r="H22" i="1880"/>
  <c r="G22" i="1880"/>
  <c r="F22" i="1880"/>
  <c r="P21" i="1880"/>
  <c r="O21" i="1880"/>
  <c r="N21" i="1880"/>
  <c r="H21" i="1880"/>
  <c r="G21" i="1880"/>
  <c r="F21" i="1880"/>
  <c r="P20" i="1880"/>
  <c r="O20" i="1880"/>
  <c r="N20" i="1880"/>
  <c r="H20" i="1880"/>
  <c r="G20" i="1880"/>
  <c r="F20" i="1880"/>
  <c r="P19" i="1880"/>
  <c r="O19" i="1880"/>
  <c r="N19" i="1880"/>
  <c r="H19" i="1880"/>
  <c r="G19" i="1880"/>
  <c r="F19" i="1880"/>
  <c r="P18" i="1880"/>
  <c r="O18" i="1880"/>
  <c r="N18" i="1880"/>
  <c r="H18" i="1880"/>
  <c r="G18" i="1880"/>
  <c r="F18" i="1880"/>
  <c r="P17" i="1880"/>
  <c r="O17" i="1880"/>
  <c r="N17" i="1880"/>
  <c r="H17" i="1880"/>
  <c r="G17" i="1880"/>
  <c r="F17" i="1880"/>
  <c r="H16" i="1880"/>
  <c r="H23" i="1880" s="1"/>
  <c r="G16" i="1880"/>
  <c r="F16" i="1880"/>
  <c r="F44" i="1879"/>
  <c r="F43" i="1879"/>
  <c r="O30" i="1879"/>
  <c r="O29" i="1879"/>
  <c r="L23" i="1879"/>
  <c r="H44" i="1879" s="1"/>
  <c r="D23" i="1879"/>
  <c r="H43" i="1879" s="1"/>
  <c r="P22" i="1879"/>
  <c r="O22" i="1879"/>
  <c r="N22" i="1879"/>
  <c r="H22" i="1879"/>
  <c r="G22" i="1879"/>
  <c r="F22" i="1879"/>
  <c r="P21" i="1879"/>
  <c r="O21" i="1879"/>
  <c r="N21" i="1879"/>
  <c r="H21" i="1879"/>
  <c r="G21" i="1879"/>
  <c r="F21" i="1879"/>
  <c r="H20" i="1879"/>
  <c r="G20" i="1879"/>
  <c r="F20" i="1879"/>
  <c r="H19" i="1879"/>
  <c r="G19" i="1879"/>
  <c r="F19" i="1879"/>
  <c r="H18" i="1879"/>
  <c r="G18" i="1879"/>
  <c r="F18" i="1879"/>
  <c r="H17" i="1879"/>
  <c r="G17" i="1879"/>
  <c r="F17" i="1879"/>
  <c r="F44" i="1878"/>
  <c r="F43" i="1878"/>
  <c r="O30" i="1878"/>
  <c r="O29" i="1878"/>
  <c r="L23" i="1878"/>
  <c r="H44" i="1878" s="1"/>
  <c r="D23" i="1878"/>
  <c r="H43" i="1878" s="1"/>
  <c r="P22" i="1878"/>
  <c r="O22" i="1878"/>
  <c r="N22" i="1878"/>
  <c r="H22" i="1878"/>
  <c r="G22" i="1878"/>
  <c r="F22" i="1878"/>
  <c r="P21" i="1878"/>
  <c r="O21" i="1878"/>
  <c r="N21" i="1878"/>
  <c r="H21" i="1878"/>
  <c r="G21" i="1878"/>
  <c r="F21" i="1878"/>
  <c r="H20" i="1878"/>
  <c r="G20" i="1878"/>
  <c r="F20" i="1878"/>
  <c r="H19" i="1878"/>
  <c r="G19" i="1878"/>
  <c r="F19" i="1878"/>
  <c r="H18" i="1878"/>
  <c r="G18" i="1878"/>
  <c r="F18" i="1878"/>
  <c r="H17" i="1878"/>
  <c r="G17" i="1878"/>
  <c r="F17" i="1878"/>
  <c r="F44" i="1877"/>
  <c r="F43" i="1877"/>
  <c r="O30" i="1877"/>
  <c r="O29" i="1877"/>
  <c r="L23" i="1877"/>
  <c r="H44" i="1877" s="1"/>
  <c r="D23" i="1877"/>
  <c r="H43" i="1877" s="1"/>
  <c r="P22" i="1877"/>
  <c r="O22" i="1877"/>
  <c r="N22" i="1877"/>
  <c r="H22" i="1877"/>
  <c r="G22" i="1877"/>
  <c r="F22" i="1877"/>
  <c r="P21" i="1877"/>
  <c r="O21" i="1877"/>
  <c r="N21" i="1877"/>
  <c r="H21" i="1877"/>
  <c r="G21" i="1877"/>
  <c r="F21" i="1877"/>
  <c r="H20" i="1877"/>
  <c r="G20" i="1877"/>
  <c r="F20" i="1877"/>
  <c r="H19" i="1877"/>
  <c r="G19" i="1877"/>
  <c r="F19" i="1877"/>
  <c r="H18" i="1877"/>
  <c r="G18" i="1877"/>
  <c r="F18" i="1877"/>
  <c r="H17" i="1877"/>
  <c r="G17" i="1877"/>
  <c r="F17" i="1877"/>
  <c r="H16" i="1877"/>
  <c r="H23" i="1877" s="1"/>
  <c r="G16" i="1877"/>
  <c r="F16" i="1877"/>
  <c r="F44" i="1876"/>
  <c r="F43" i="1876"/>
  <c r="O30" i="1876"/>
  <c r="O29" i="1876"/>
  <c r="L23" i="1876"/>
  <c r="H44" i="1876" s="1"/>
  <c r="D23" i="1876"/>
  <c r="H43" i="1876" s="1"/>
  <c r="P22" i="1876"/>
  <c r="O22" i="1876"/>
  <c r="N22" i="1876"/>
  <c r="H22" i="1876"/>
  <c r="G22" i="1876"/>
  <c r="F22" i="1876"/>
  <c r="P21" i="1876"/>
  <c r="O21" i="1876"/>
  <c r="N21" i="1876"/>
  <c r="H21" i="1876"/>
  <c r="G21" i="1876"/>
  <c r="F21" i="1876"/>
  <c r="H20" i="1876"/>
  <c r="G20" i="1876"/>
  <c r="F20" i="1876"/>
  <c r="H19" i="1876"/>
  <c r="G19" i="1876"/>
  <c r="F19" i="1876"/>
  <c r="H18" i="1876"/>
  <c r="G18" i="1876"/>
  <c r="F18" i="1876"/>
  <c r="H17" i="1876"/>
  <c r="G17" i="1876"/>
  <c r="F17" i="1876"/>
  <c r="H16" i="1876"/>
  <c r="G16" i="1876"/>
  <c r="F16" i="1876"/>
  <c r="F44" i="1875"/>
  <c r="F43" i="1875"/>
  <c r="O30" i="1875"/>
  <c r="O29" i="1875"/>
  <c r="L23" i="1875"/>
  <c r="H44" i="1875" s="1"/>
  <c r="D23" i="1875"/>
  <c r="H43" i="1875" s="1"/>
  <c r="P22" i="1875"/>
  <c r="O22" i="1875"/>
  <c r="N22" i="1875"/>
  <c r="H22" i="1875"/>
  <c r="G22" i="1875"/>
  <c r="F22" i="1875"/>
  <c r="P21" i="1875"/>
  <c r="O21" i="1875"/>
  <c r="N21" i="1875"/>
  <c r="H21" i="1875"/>
  <c r="G21" i="1875"/>
  <c r="F21" i="1875"/>
  <c r="P20" i="1875"/>
  <c r="O20" i="1875"/>
  <c r="N20" i="1875"/>
  <c r="H20" i="1875"/>
  <c r="G20" i="1875"/>
  <c r="F20" i="1875"/>
  <c r="P19" i="1875"/>
  <c r="O19" i="1875"/>
  <c r="N19" i="1875"/>
  <c r="H19" i="1875"/>
  <c r="G19" i="1875"/>
  <c r="F19" i="1875"/>
  <c r="P18" i="1875"/>
  <c r="O18" i="1875"/>
  <c r="N18" i="1875"/>
  <c r="H18" i="1875"/>
  <c r="G18" i="1875"/>
  <c r="F18" i="1875"/>
  <c r="P17" i="1875"/>
  <c r="O17" i="1875"/>
  <c r="N17" i="1875"/>
  <c r="H17" i="1875"/>
  <c r="G17" i="1875"/>
  <c r="F17" i="1875"/>
  <c r="H16" i="1875"/>
  <c r="H23" i="1875" s="1"/>
  <c r="G16" i="1875"/>
  <c r="F16" i="1875"/>
  <c r="F44" i="1874"/>
  <c r="F43" i="1874"/>
  <c r="O30" i="1874"/>
  <c r="O29" i="1874"/>
  <c r="L23" i="1874"/>
  <c r="H44" i="1874" s="1"/>
  <c r="D23" i="1874"/>
  <c r="H43" i="1874" s="1"/>
  <c r="P22" i="1874"/>
  <c r="O22" i="1874"/>
  <c r="N22" i="1874"/>
  <c r="H22" i="1874"/>
  <c r="G22" i="1874"/>
  <c r="F22" i="1874"/>
  <c r="P21" i="1874"/>
  <c r="O21" i="1874"/>
  <c r="N21" i="1874"/>
  <c r="H21" i="1874"/>
  <c r="G21" i="1874"/>
  <c r="F21" i="1874"/>
  <c r="P20" i="1874"/>
  <c r="O20" i="1874"/>
  <c r="N20" i="1874"/>
  <c r="H20" i="1874"/>
  <c r="G20" i="1874"/>
  <c r="F20" i="1874"/>
  <c r="P19" i="1874"/>
  <c r="O19" i="1874"/>
  <c r="N19" i="1874"/>
  <c r="H19" i="1874"/>
  <c r="G19" i="1874"/>
  <c r="F19" i="1874"/>
  <c r="P18" i="1874"/>
  <c r="O18" i="1874"/>
  <c r="N18" i="1874"/>
  <c r="H18" i="1874"/>
  <c r="G18" i="1874"/>
  <c r="F18" i="1874"/>
  <c r="P17" i="1874"/>
  <c r="O17" i="1874"/>
  <c r="N17" i="1874"/>
  <c r="H17" i="1874"/>
  <c r="G17" i="1874"/>
  <c r="F17" i="1874"/>
  <c r="H16" i="1874"/>
  <c r="G16" i="1874"/>
  <c r="F16" i="1874"/>
  <c r="H23" i="1892" l="1"/>
  <c r="H23" i="1893"/>
  <c r="H23" i="1890"/>
  <c r="P23" i="1886"/>
  <c r="P23" i="1892"/>
  <c r="P23" i="1882"/>
  <c r="P23" i="1890"/>
  <c r="N17" i="1893"/>
  <c r="O17" i="1893" s="1"/>
  <c r="P17" i="1893" s="1"/>
  <c r="F16" i="1889"/>
  <c r="G16" i="1889" s="1"/>
  <c r="H16" i="1889" s="1"/>
  <c r="H23" i="1889" s="1"/>
  <c r="N18" i="1889"/>
  <c r="O18" i="1889" s="1"/>
  <c r="P18" i="1889" s="1"/>
  <c r="N17" i="1889"/>
  <c r="O17" i="1889" s="1"/>
  <c r="P17" i="1889" s="1"/>
  <c r="F16" i="1888"/>
  <c r="G16" i="1888" s="1"/>
  <c r="H16" i="1888" s="1"/>
  <c r="H23" i="1888" s="1"/>
  <c r="N18" i="1888"/>
  <c r="O18" i="1888" s="1"/>
  <c r="P18" i="1888" s="1"/>
  <c r="N17" i="1888"/>
  <c r="O17" i="1888" s="1"/>
  <c r="P17" i="1888" s="1"/>
  <c r="N16" i="1888"/>
  <c r="O16" i="1888" s="1"/>
  <c r="P16" i="1888" s="1"/>
  <c r="N17" i="1883"/>
  <c r="O17" i="1883" s="1"/>
  <c r="P17" i="1883" s="1"/>
  <c r="N16" i="1880"/>
  <c r="O16" i="1880" s="1"/>
  <c r="P16" i="1880" s="1"/>
  <c r="P23" i="1880" s="1"/>
  <c r="F16" i="1879"/>
  <c r="G16" i="1879" s="1"/>
  <c r="H16" i="1879" s="1"/>
  <c r="H23" i="1879" s="1"/>
  <c r="N20" i="1879"/>
  <c r="O20" i="1879" s="1"/>
  <c r="P20" i="1879" s="1"/>
  <c r="N19" i="1879"/>
  <c r="O19" i="1879" s="1"/>
  <c r="P19" i="1879" s="1"/>
  <c r="N18" i="1879"/>
  <c r="O18" i="1879" s="1"/>
  <c r="P18" i="1879" s="1"/>
  <c r="N17" i="1879"/>
  <c r="O17" i="1879" s="1"/>
  <c r="P17" i="1879" s="1"/>
  <c r="N20" i="1877"/>
  <c r="O20" i="1877" s="1"/>
  <c r="P20" i="1877" s="1"/>
  <c r="N19" i="1877"/>
  <c r="O19" i="1877" s="1"/>
  <c r="P19" i="1877" s="1"/>
  <c r="N18" i="1877"/>
  <c r="O18" i="1877" s="1"/>
  <c r="P18" i="1877" s="1"/>
  <c r="N17" i="1877"/>
  <c r="O17" i="1877" s="1"/>
  <c r="P17" i="1877" s="1"/>
  <c r="H23" i="1876"/>
  <c r="H23" i="1874"/>
  <c r="F44" i="1873"/>
  <c r="F43" i="1873"/>
  <c r="O30" i="1873"/>
  <c r="O29" i="1873"/>
  <c r="L23" i="1873"/>
  <c r="H44" i="1873" s="1"/>
  <c r="D23" i="1873"/>
  <c r="H43" i="1873" s="1"/>
  <c r="P22" i="1873"/>
  <c r="O22" i="1873"/>
  <c r="N22" i="1873"/>
  <c r="H22" i="1873"/>
  <c r="G22" i="1873"/>
  <c r="F22" i="1873"/>
  <c r="P21" i="1873"/>
  <c r="O21" i="1873"/>
  <c r="N21" i="1873"/>
  <c r="H21" i="1873"/>
  <c r="G21" i="1873"/>
  <c r="F21" i="1873"/>
  <c r="P20" i="1873"/>
  <c r="O20" i="1873"/>
  <c r="N20" i="1873"/>
  <c r="H20" i="1873"/>
  <c r="G20" i="1873"/>
  <c r="F20" i="1873"/>
  <c r="P19" i="1873"/>
  <c r="O19" i="1873"/>
  <c r="N19" i="1873"/>
  <c r="H19" i="1873"/>
  <c r="G19" i="1873"/>
  <c r="F19" i="1873"/>
  <c r="P18" i="1873"/>
  <c r="O18" i="1873"/>
  <c r="N18" i="1873"/>
  <c r="H18" i="1873"/>
  <c r="G18" i="1873"/>
  <c r="F18" i="1873"/>
  <c r="P17" i="1873"/>
  <c r="O17" i="1873"/>
  <c r="N17" i="1873"/>
  <c r="H17" i="1873"/>
  <c r="G17" i="1873"/>
  <c r="F17" i="1873"/>
  <c r="H16" i="1873"/>
  <c r="G16" i="1873"/>
  <c r="F16" i="1873"/>
  <c r="P23" i="1888" l="1"/>
  <c r="H23" i="1873"/>
  <c r="F44" i="1868" l="1"/>
  <c r="F43" i="1868"/>
  <c r="O30" i="1868"/>
  <c r="O29" i="1868"/>
  <c r="L23" i="1868"/>
  <c r="H44" i="1868" s="1"/>
  <c r="D23" i="1868"/>
  <c r="H43" i="1868" s="1"/>
  <c r="P22" i="1868"/>
  <c r="O22" i="1868"/>
  <c r="N22" i="1868"/>
  <c r="H22" i="1868"/>
  <c r="G22" i="1868"/>
  <c r="F22" i="1868"/>
  <c r="P21" i="1868"/>
  <c r="O21" i="1868"/>
  <c r="N21" i="1868"/>
  <c r="H21" i="1868"/>
  <c r="G21" i="1868"/>
  <c r="F21" i="1868"/>
  <c r="P20" i="1868"/>
  <c r="O20" i="1868"/>
  <c r="N20" i="1868"/>
  <c r="H20" i="1868"/>
  <c r="G20" i="1868"/>
  <c r="F20" i="1868"/>
  <c r="P19" i="1868"/>
  <c r="O19" i="1868"/>
  <c r="N19" i="1868"/>
  <c r="H19" i="1868"/>
  <c r="G19" i="1868"/>
  <c r="F19" i="1868"/>
  <c r="P18" i="1868"/>
  <c r="O18" i="1868"/>
  <c r="N18" i="1868"/>
  <c r="H18" i="1868"/>
  <c r="G18" i="1868"/>
  <c r="F18" i="1868"/>
  <c r="P17" i="1868"/>
  <c r="O17" i="1868"/>
  <c r="N17" i="1868"/>
  <c r="H17" i="1868"/>
  <c r="G17" i="1868"/>
  <c r="F17" i="1868"/>
  <c r="H16" i="1868"/>
  <c r="G16" i="1868"/>
  <c r="F16" i="1868"/>
  <c r="F44" i="1867"/>
  <c r="F43" i="1867"/>
  <c r="O30" i="1867"/>
  <c r="O29" i="1867"/>
  <c r="L23" i="1867"/>
  <c r="H44" i="1867" s="1"/>
  <c r="D23" i="1867"/>
  <c r="H43" i="1867" s="1"/>
  <c r="P22" i="1867"/>
  <c r="O22" i="1867"/>
  <c r="N22" i="1867"/>
  <c r="H22" i="1867"/>
  <c r="G22" i="1867"/>
  <c r="F22" i="1867"/>
  <c r="P21" i="1867"/>
  <c r="O21" i="1867"/>
  <c r="N21" i="1867"/>
  <c r="H21" i="1867"/>
  <c r="G21" i="1867"/>
  <c r="F21" i="1867"/>
  <c r="P20" i="1867"/>
  <c r="O20" i="1867"/>
  <c r="N20" i="1867"/>
  <c r="H20" i="1867"/>
  <c r="G20" i="1867"/>
  <c r="F20" i="1867"/>
  <c r="P19" i="1867"/>
  <c r="O19" i="1867"/>
  <c r="N19" i="1867"/>
  <c r="H19" i="1867"/>
  <c r="G19" i="1867"/>
  <c r="F19" i="1867"/>
  <c r="P18" i="1867"/>
  <c r="O18" i="1867"/>
  <c r="N18" i="1867"/>
  <c r="H18" i="1867"/>
  <c r="G18" i="1867"/>
  <c r="F18" i="1867"/>
  <c r="H17" i="1867"/>
  <c r="G17" i="1867"/>
  <c r="F17" i="1867"/>
  <c r="H16" i="1867"/>
  <c r="G16" i="1867"/>
  <c r="F16" i="1867"/>
  <c r="F44" i="1866"/>
  <c r="F43" i="1866"/>
  <c r="O30" i="1866"/>
  <c r="O29" i="1866"/>
  <c r="L23" i="1866"/>
  <c r="H44" i="1866" s="1"/>
  <c r="D23" i="1866"/>
  <c r="H43" i="1866" s="1"/>
  <c r="P22" i="1866"/>
  <c r="O22" i="1866"/>
  <c r="N22" i="1866"/>
  <c r="H22" i="1866"/>
  <c r="G22" i="1866"/>
  <c r="F22" i="1866"/>
  <c r="P21" i="1866"/>
  <c r="O21" i="1866"/>
  <c r="N21" i="1866"/>
  <c r="H21" i="1866"/>
  <c r="G21" i="1866"/>
  <c r="F21" i="1866"/>
  <c r="P20" i="1866"/>
  <c r="O20" i="1866"/>
  <c r="N20" i="1866"/>
  <c r="H20" i="1866"/>
  <c r="G20" i="1866"/>
  <c r="F20" i="1866"/>
  <c r="P19" i="1866"/>
  <c r="O19" i="1866"/>
  <c r="N19" i="1866"/>
  <c r="H19" i="1866"/>
  <c r="G19" i="1866"/>
  <c r="F19" i="1866"/>
  <c r="P18" i="1866"/>
  <c r="O18" i="1866"/>
  <c r="N18" i="1866"/>
  <c r="H18" i="1866"/>
  <c r="G18" i="1866"/>
  <c r="F18" i="1866"/>
  <c r="H17" i="1866"/>
  <c r="G17" i="1866"/>
  <c r="F17" i="1866"/>
  <c r="H16" i="1866"/>
  <c r="G16" i="1866"/>
  <c r="F16" i="1866"/>
  <c r="F44" i="1865"/>
  <c r="F43" i="1865"/>
  <c r="O30" i="1865"/>
  <c r="O29" i="1865"/>
  <c r="L23" i="1865"/>
  <c r="H44" i="1865" s="1"/>
  <c r="D23" i="1865"/>
  <c r="H43" i="1865" s="1"/>
  <c r="P22" i="1865"/>
  <c r="O22" i="1865"/>
  <c r="N22" i="1865"/>
  <c r="H22" i="1865"/>
  <c r="G22" i="1865"/>
  <c r="F22" i="1865"/>
  <c r="P21" i="1865"/>
  <c r="O21" i="1865"/>
  <c r="N21" i="1865"/>
  <c r="H21" i="1865"/>
  <c r="G21" i="1865"/>
  <c r="F21" i="1865"/>
  <c r="P20" i="1865"/>
  <c r="O20" i="1865"/>
  <c r="N20" i="1865"/>
  <c r="H20" i="1865"/>
  <c r="G20" i="1865"/>
  <c r="F20" i="1865"/>
  <c r="P19" i="1865"/>
  <c r="O19" i="1865"/>
  <c r="N19" i="1865"/>
  <c r="H19" i="1865"/>
  <c r="G19" i="1865"/>
  <c r="F19" i="1865"/>
  <c r="P18" i="1865"/>
  <c r="O18" i="1865"/>
  <c r="N18" i="1865"/>
  <c r="H18" i="1865"/>
  <c r="G18" i="1865"/>
  <c r="F18" i="1865"/>
  <c r="H17" i="1865"/>
  <c r="G17" i="1865"/>
  <c r="F17" i="1865"/>
  <c r="H16" i="1865"/>
  <c r="G16" i="1865"/>
  <c r="F16" i="1865"/>
  <c r="F44" i="1864"/>
  <c r="F43" i="1864"/>
  <c r="O30" i="1864"/>
  <c r="O29" i="1864"/>
  <c r="L23" i="1864"/>
  <c r="H44" i="1864" s="1"/>
  <c r="D23" i="1864"/>
  <c r="H43" i="1864" s="1"/>
  <c r="P22" i="1864"/>
  <c r="O22" i="1864"/>
  <c r="N22" i="1864"/>
  <c r="H22" i="1864"/>
  <c r="G22" i="1864"/>
  <c r="F22" i="1864"/>
  <c r="P21" i="1864"/>
  <c r="O21" i="1864"/>
  <c r="N21" i="1864"/>
  <c r="H21" i="1864"/>
  <c r="G21" i="1864"/>
  <c r="F21" i="1864"/>
  <c r="P20" i="1864"/>
  <c r="O20" i="1864"/>
  <c r="N20" i="1864"/>
  <c r="H20" i="1864"/>
  <c r="G20" i="1864"/>
  <c r="F20" i="1864"/>
  <c r="P19" i="1864"/>
  <c r="O19" i="1864"/>
  <c r="N19" i="1864"/>
  <c r="H19" i="1864"/>
  <c r="G19" i="1864"/>
  <c r="F19" i="1864"/>
  <c r="P18" i="1864"/>
  <c r="O18" i="1864"/>
  <c r="N18" i="1864"/>
  <c r="H18" i="1864"/>
  <c r="G18" i="1864"/>
  <c r="F18" i="1864"/>
  <c r="P17" i="1864"/>
  <c r="O17" i="1864"/>
  <c r="N17" i="1864"/>
  <c r="H17" i="1864"/>
  <c r="G17" i="1864"/>
  <c r="F17" i="1864"/>
  <c r="H16" i="1864"/>
  <c r="G16" i="1864"/>
  <c r="F16" i="1864"/>
  <c r="F44" i="1863"/>
  <c r="F43" i="1863"/>
  <c r="O30" i="1863"/>
  <c r="O29" i="1863"/>
  <c r="L23" i="1863"/>
  <c r="H44" i="1863" s="1"/>
  <c r="D23" i="1863"/>
  <c r="H43" i="1863" s="1"/>
  <c r="P22" i="1863"/>
  <c r="O22" i="1863"/>
  <c r="N22" i="1863"/>
  <c r="H22" i="1863"/>
  <c r="G22" i="1863"/>
  <c r="F22" i="1863"/>
  <c r="P21" i="1863"/>
  <c r="O21" i="1863"/>
  <c r="N21" i="1863"/>
  <c r="H21" i="1863"/>
  <c r="G21" i="1863"/>
  <c r="F21" i="1863"/>
  <c r="P20" i="1863"/>
  <c r="O20" i="1863"/>
  <c r="N20" i="1863"/>
  <c r="H20" i="1863"/>
  <c r="G20" i="1863"/>
  <c r="F20" i="1863"/>
  <c r="P19" i="1863"/>
  <c r="O19" i="1863"/>
  <c r="N19" i="1863"/>
  <c r="H19" i="1863"/>
  <c r="G19" i="1863"/>
  <c r="F19" i="1863"/>
  <c r="P18" i="1863"/>
  <c r="O18" i="1863"/>
  <c r="N18" i="1863"/>
  <c r="H18" i="1863"/>
  <c r="G18" i="1863"/>
  <c r="F18" i="1863"/>
  <c r="P17" i="1863"/>
  <c r="O17" i="1863"/>
  <c r="N17" i="1863"/>
  <c r="H17" i="1863"/>
  <c r="G17" i="1863"/>
  <c r="F17" i="1863"/>
  <c r="P16" i="1863"/>
  <c r="O16" i="1863"/>
  <c r="N16" i="1863"/>
  <c r="H16" i="1863"/>
  <c r="H23" i="1863" s="1"/>
  <c r="G16" i="1863"/>
  <c r="F16" i="1863"/>
  <c r="F44" i="1862"/>
  <c r="F43" i="1862"/>
  <c r="O30" i="1862"/>
  <c r="O29" i="1862"/>
  <c r="L23" i="1862"/>
  <c r="H44" i="1862" s="1"/>
  <c r="D23" i="1862"/>
  <c r="H43" i="1862" s="1"/>
  <c r="P22" i="1862"/>
  <c r="O22" i="1862"/>
  <c r="N22" i="1862"/>
  <c r="H22" i="1862"/>
  <c r="G22" i="1862"/>
  <c r="F22" i="1862"/>
  <c r="P21" i="1862"/>
  <c r="O21" i="1862"/>
  <c r="N21" i="1862"/>
  <c r="H21" i="1862"/>
  <c r="G21" i="1862"/>
  <c r="F21" i="1862"/>
  <c r="P20" i="1862"/>
  <c r="O20" i="1862"/>
  <c r="N20" i="1862"/>
  <c r="H20" i="1862"/>
  <c r="G20" i="1862"/>
  <c r="F20" i="1862"/>
  <c r="P19" i="1862"/>
  <c r="O19" i="1862"/>
  <c r="N19" i="1862"/>
  <c r="H19" i="1862"/>
  <c r="G19" i="1862"/>
  <c r="F19" i="1862"/>
  <c r="P18" i="1862"/>
  <c r="O18" i="1862"/>
  <c r="N18" i="1862"/>
  <c r="H18" i="1862"/>
  <c r="G18" i="1862"/>
  <c r="F18" i="1862"/>
  <c r="P17" i="1862"/>
  <c r="O17" i="1862"/>
  <c r="N17" i="1862"/>
  <c r="H17" i="1862"/>
  <c r="G17" i="1862"/>
  <c r="F17" i="1862"/>
  <c r="H16" i="1862"/>
  <c r="G16" i="1862"/>
  <c r="F16" i="1862"/>
  <c r="F44" i="1861"/>
  <c r="F43" i="1861"/>
  <c r="O30" i="1861"/>
  <c r="O29" i="1861"/>
  <c r="L23" i="1861"/>
  <c r="H44" i="1861" s="1"/>
  <c r="D23" i="1861"/>
  <c r="H43" i="1861" s="1"/>
  <c r="P22" i="1861"/>
  <c r="O22" i="1861"/>
  <c r="N22" i="1861"/>
  <c r="H22" i="1861"/>
  <c r="G22" i="1861"/>
  <c r="F22" i="1861"/>
  <c r="P21" i="1861"/>
  <c r="O21" i="1861"/>
  <c r="N21" i="1861"/>
  <c r="H21" i="1861"/>
  <c r="G21" i="1861"/>
  <c r="F21" i="1861"/>
  <c r="P20" i="1861"/>
  <c r="O20" i="1861"/>
  <c r="N20" i="1861"/>
  <c r="H20" i="1861"/>
  <c r="G20" i="1861"/>
  <c r="F20" i="1861"/>
  <c r="P19" i="1861"/>
  <c r="O19" i="1861"/>
  <c r="N19" i="1861"/>
  <c r="H19" i="1861"/>
  <c r="G19" i="1861"/>
  <c r="F19" i="1861"/>
  <c r="P18" i="1861"/>
  <c r="O18" i="1861"/>
  <c r="N18" i="1861"/>
  <c r="H18" i="1861"/>
  <c r="G18" i="1861"/>
  <c r="F18" i="1861"/>
  <c r="P17" i="1861"/>
  <c r="O17" i="1861"/>
  <c r="N17" i="1861"/>
  <c r="H17" i="1861"/>
  <c r="G17" i="1861"/>
  <c r="F17" i="1861"/>
  <c r="P16" i="1861"/>
  <c r="O16" i="1861"/>
  <c r="N16" i="1861"/>
  <c r="H16" i="1861"/>
  <c r="G16" i="1861"/>
  <c r="F16" i="1861"/>
  <c r="F44" i="1860"/>
  <c r="F43" i="1860"/>
  <c r="O30" i="1860"/>
  <c r="O29" i="1860"/>
  <c r="L23" i="1860"/>
  <c r="H44" i="1860" s="1"/>
  <c r="D23" i="1860"/>
  <c r="H43" i="1860" s="1"/>
  <c r="P22" i="1860"/>
  <c r="O22" i="1860"/>
  <c r="N22" i="1860"/>
  <c r="H22" i="1860"/>
  <c r="G22" i="1860"/>
  <c r="F22" i="1860"/>
  <c r="P21" i="1860"/>
  <c r="O21" i="1860"/>
  <c r="N21" i="1860"/>
  <c r="H21" i="1860"/>
  <c r="G21" i="1860"/>
  <c r="F21" i="1860"/>
  <c r="P20" i="1860"/>
  <c r="O20" i="1860"/>
  <c r="N20" i="1860"/>
  <c r="H20" i="1860"/>
  <c r="G20" i="1860"/>
  <c r="F20" i="1860"/>
  <c r="P19" i="1860"/>
  <c r="O19" i="1860"/>
  <c r="N19" i="1860"/>
  <c r="H19" i="1860"/>
  <c r="G19" i="1860"/>
  <c r="F19" i="1860"/>
  <c r="P18" i="1860"/>
  <c r="O18" i="1860"/>
  <c r="N18" i="1860"/>
  <c r="H18" i="1860"/>
  <c r="G18" i="1860"/>
  <c r="F18" i="1860"/>
  <c r="H17" i="1860"/>
  <c r="G17" i="1860"/>
  <c r="F17" i="1860"/>
  <c r="H16" i="1860"/>
  <c r="G16" i="1860"/>
  <c r="F16" i="1860"/>
  <c r="F44" i="1859"/>
  <c r="F43" i="1859"/>
  <c r="O30" i="1859"/>
  <c r="O29" i="1859"/>
  <c r="L23" i="1859"/>
  <c r="H44" i="1859" s="1"/>
  <c r="D23" i="1859"/>
  <c r="H43" i="1859" s="1"/>
  <c r="P22" i="1859"/>
  <c r="O22" i="1859"/>
  <c r="N22" i="1859"/>
  <c r="H22" i="1859"/>
  <c r="G22" i="1859"/>
  <c r="F22" i="1859"/>
  <c r="P21" i="1859"/>
  <c r="O21" i="1859"/>
  <c r="N21" i="1859"/>
  <c r="H21" i="1859"/>
  <c r="G21" i="1859"/>
  <c r="F21" i="1859"/>
  <c r="P20" i="1859"/>
  <c r="O20" i="1859"/>
  <c r="N20" i="1859"/>
  <c r="H20" i="1859"/>
  <c r="G20" i="1859"/>
  <c r="F20" i="1859"/>
  <c r="P19" i="1859"/>
  <c r="O19" i="1859"/>
  <c r="N19" i="1859"/>
  <c r="H19" i="1859"/>
  <c r="G19" i="1859"/>
  <c r="F19" i="1859"/>
  <c r="H18" i="1859"/>
  <c r="G18" i="1859"/>
  <c r="F18" i="1859"/>
  <c r="H17" i="1859"/>
  <c r="G17" i="1859"/>
  <c r="F17" i="1859"/>
  <c r="H16" i="1859"/>
  <c r="G16" i="1859"/>
  <c r="F16" i="1859"/>
  <c r="F44" i="1858"/>
  <c r="F43" i="1858"/>
  <c r="O30" i="1858"/>
  <c r="O29" i="1858"/>
  <c r="L23" i="1858"/>
  <c r="H44" i="1858" s="1"/>
  <c r="D23" i="1858"/>
  <c r="H43" i="1858" s="1"/>
  <c r="P22" i="1858"/>
  <c r="O22" i="1858"/>
  <c r="N22" i="1858"/>
  <c r="H22" i="1858"/>
  <c r="G22" i="1858"/>
  <c r="F22" i="1858"/>
  <c r="P21" i="1858"/>
  <c r="O21" i="1858"/>
  <c r="N21" i="1858"/>
  <c r="H21" i="1858"/>
  <c r="G21" i="1858"/>
  <c r="F21" i="1858"/>
  <c r="P20" i="1858"/>
  <c r="O20" i="1858"/>
  <c r="N20" i="1858"/>
  <c r="H20" i="1858"/>
  <c r="G20" i="1858"/>
  <c r="F20" i="1858"/>
  <c r="P19" i="1858"/>
  <c r="O19" i="1858"/>
  <c r="N19" i="1858"/>
  <c r="H19" i="1858"/>
  <c r="G19" i="1858"/>
  <c r="F19" i="1858"/>
  <c r="H18" i="1858"/>
  <c r="G18" i="1858"/>
  <c r="F18" i="1858"/>
  <c r="H17" i="1858"/>
  <c r="G17" i="1858"/>
  <c r="F17" i="1858"/>
  <c r="H16" i="1858"/>
  <c r="G16" i="1858"/>
  <c r="F16" i="1858"/>
  <c r="F44" i="1857"/>
  <c r="F43" i="1857"/>
  <c r="O30" i="1857"/>
  <c r="O29" i="1857"/>
  <c r="L23" i="1857"/>
  <c r="H44" i="1857" s="1"/>
  <c r="D23" i="1857"/>
  <c r="H43" i="1857" s="1"/>
  <c r="P22" i="1857"/>
  <c r="O22" i="1857"/>
  <c r="N22" i="1857"/>
  <c r="H22" i="1857"/>
  <c r="G22" i="1857"/>
  <c r="F22" i="1857"/>
  <c r="P21" i="1857"/>
  <c r="O21" i="1857"/>
  <c r="N21" i="1857"/>
  <c r="H21" i="1857"/>
  <c r="G21" i="1857"/>
  <c r="F21" i="1857"/>
  <c r="P20" i="1857"/>
  <c r="O20" i="1857"/>
  <c r="N20" i="1857"/>
  <c r="H20" i="1857"/>
  <c r="G20" i="1857"/>
  <c r="F20" i="1857"/>
  <c r="P19" i="1857"/>
  <c r="O19" i="1857"/>
  <c r="N19" i="1857"/>
  <c r="H19" i="1857"/>
  <c r="G19" i="1857"/>
  <c r="F19" i="1857"/>
  <c r="H18" i="1857"/>
  <c r="G18" i="1857"/>
  <c r="F18" i="1857"/>
  <c r="H17" i="1857"/>
  <c r="G17" i="1857"/>
  <c r="F17" i="1857"/>
  <c r="H16" i="1857"/>
  <c r="G16" i="1857"/>
  <c r="F16" i="1857"/>
  <c r="F44" i="1856"/>
  <c r="F43" i="1856"/>
  <c r="O30" i="1856"/>
  <c r="O29" i="1856"/>
  <c r="L23" i="1856"/>
  <c r="H44" i="1856" s="1"/>
  <c r="D23" i="1856"/>
  <c r="H43" i="1856" s="1"/>
  <c r="P22" i="1856"/>
  <c r="O22" i="1856"/>
  <c r="N22" i="1856"/>
  <c r="H22" i="1856"/>
  <c r="G22" i="1856"/>
  <c r="F22" i="1856"/>
  <c r="P21" i="1856"/>
  <c r="O21" i="1856"/>
  <c r="N21" i="1856"/>
  <c r="H21" i="1856"/>
  <c r="G21" i="1856"/>
  <c r="F21" i="1856"/>
  <c r="P20" i="1856"/>
  <c r="O20" i="1856"/>
  <c r="N20" i="1856"/>
  <c r="H20" i="1856"/>
  <c r="G20" i="1856"/>
  <c r="F20" i="1856"/>
  <c r="P19" i="1856"/>
  <c r="O19" i="1856"/>
  <c r="N19" i="1856"/>
  <c r="H19" i="1856"/>
  <c r="G19" i="1856"/>
  <c r="F19" i="1856"/>
  <c r="P18" i="1856"/>
  <c r="O18" i="1856"/>
  <c r="N18" i="1856"/>
  <c r="H18" i="1856"/>
  <c r="G18" i="1856"/>
  <c r="F18" i="1856"/>
  <c r="P17" i="1856"/>
  <c r="O17" i="1856"/>
  <c r="N17" i="1856"/>
  <c r="H17" i="1856"/>
  <c r="G17" i="1856"/>
  <c r="F17" i="1856"/>
  <c r="P16" i="1856"/>
  <c r="O16" i="1856"/>
  <c r="N16" i="1856"/>
  <c r="H16" i="1856"/>
  <c r="G16" i="1856"/>
  <c r="F16" i="1856"/>
  <c r="F44" i="1855"/>
  <c r="F43" i="1855"/>
  <c r="O30" i="1855"/>
  <c r="O29" i="1855"/>
  <c r="L23" i="1855"/>
  <c r="H44" i="1855" s="1"/>
  <c r="D23" i="1855"/>
  <c r="H43" i="1855" s="1"/>
  <c r="P22" i="1855"/>
  <c r="O22" i="1855"/>
  <c r="N22" i="1855"/>
  <c r="H22" i="1855"/>
  <c r="G22" i="1855"/>
  <c r="F22" i="1855"/>
  <c r="P21" i="1855"/>
  <c r="O21" i="1855"/>
  <c r="N21" i="1855"/>
  <c r="H21" i="1855"/>
  <c r="G21" i="1855"/>
  <c r="F21" i="1855"/>
  <c r="P20" i="1855"/>
  <c r="O20" i="1855"/>
  <c r="N20" i="1855"/>
  <c r="H20" i="1855"/>
  <c r="G20" i="1855"/>
  <c r="F20" i="1855"/>
  <c r="P19" i="1855"/>
  <c r="O19" i="1855"/>
  <c r="N19" i="1855"/>
  <c r="H19" i="1855"/>
  <c r="G19" i="1855"/>
  <c r="F19" i="1855"/>
  <c r="P18" i="1855"/>
  <c r="O18" i="1855"/>
  <c r="N18" i="1855"/>
  <c r="H18" i="1855"/>
  <c r="G18" i="1855"/>
  <c r="F18" i="1855"/>
  <c r="P17" i="1855"/>
  <c r="O17" i="1855"/>
  <c r="N17" i="1855"/>
  <c r="H17" i="1855"/>
  <c r="G17" i="1855"/>
  <c r="F17" i="1855"/>
  <c r="F44" i="1854"/>
  <c r="F43" i="1854"/>
  <c r="O30" i="1854"/>
  <c r="O29" i="1854"/>
  <c r="L23" i="1854"/>
  <c r="H44" i="1854" s="1"/>
  <c r="D23" i="1854"/>
  <c r="H43" i="1854" s="1"/>
  <c r="P22" i="1854"/>
  <c r="O22" i="1854"/>
  <c r="N22" i="1854"/>
  <c r="H22" i="1854"/>
  <c r="G22" i="1854"/>
  <c r="F22" i="1854"/>
  <c r="P21" i="1854"/>
  <c r="O21" i="1854"/>
  <c r="N21" i="1854"/>
  <c r="H21" i="1854"/>
  <c r="G21" i="1854"/>
  <c r="F21" i="1854"/>
  <c r="P20" i="1854"/>
  <c r="O20" i="1854"/>
  <c r="N20" i="1854"/>
  <c r="H20" i="1854"/>
  <c r="G20" i="1854"/>
  <c r="F20" i="1854"/>
  <c r="P19" i="1854"/>
  <c r="O19" i="1854"/>
  <c r="N19" i="1854"/>
  <c r="H19" i="1854"/>
  <c r="G19" i="1854"/>
  <c r="F19" i="1854"/>
  <c r="P18" i="1854"/>
  <c r="O18" i="1854"/>
  <c r="N18" i="1854"/>
  <c r="H18" i="1854"/>
  <c r="G18" i="1854"/>
  <c r="F18" i="1854"/>
  <c r="P17" i="1854"/>
  <c r="O17" i="1854"/>
  <c r="N17" i="1854"/>
  <c r="H17" i="1854"/>
  <c r="G17" i="1854"/>
  <c r="F17" i="1854"/>
  <c r="F44" i="1853"/>
  <c r="F43" i="1853"/>
  <c r="O30" i="1853"/>
  <c r="O29" i="1853"/>
  <c r="L23" i="1853"/>
  <c r="H44" i="1853" s="1"/>
  <c r="D23" i="1853"/>
  <c r="H43" i="1853" s="1"/>
  <c r="P22" i="1853"/>
  <c r="O22" i="1853"/>
  <c r="N22" i="1853"/>
  <c r="H22" i="1853"/>
  <c r="G22" i="1853"/>
  <c r="F22" i="1853"/>
  <c r="P21" i="1853"/>
  <c r="O21" i="1853"/>
  <c r="N21" i="1853"/>
  <c r="H21" i="1853"/>
  <c r="G21" i="1853"/>
  <c r="F21" i="1853"/>
  <c r="P20" i="1853"/>
  <c r="O20" i="1853"/>
  <c r="N20" i="1853"/>
  <c r="H20" i="1853"/>
  <c r="G20" i="1853"/>
  <c r="F20" i="1853"/>
  <c r="P19" i="1853"/>
  <c r="O19" i="1853"/>
  <c r="N19" i="1853"/>
  <c r="H19" i="1853"/>
  <c r="G19" i="1853"/>
  <c r="F19" i="1853"/>
  <c r="P18" i="1853"/>
  <c r="O18" i="1853"/>
  <c r="N18" i="1853"/>
  <c r="H18" i="1853"/>
  <c r="G18" i="1853"/>
  <c r="F18" i="1853"/>
  <c r="P17" i="1853"/>
  <c r="O17" i="1853"/>
  <c r="N17" i="1853"/>
  <c r="H17" i="1853"/>
  <c r="G17" i="1853"/>
  <c r="F17" i="1853"/>
  <c r="H16" i="1853"/>
  <c r="H23" i="1853" s="1"/>
  <c r="G16" i="1853"/>
  <c r="F16" i="1853"/>
  <c r="P23" i="1861" l="1"/>
  <c r="P23" i="1856"/>
  <c r="P23" i="1863"/>
  <c r="H23" i="1856"/>
  <c r="H23" i="1857"/>
  <c r="H23" i="1864"/>
  <c r="H23" i="1868"/>
  <c r="H23" i="1858"/>
  <c r="H23" i="1860"/>
  <c r="H23" i="1861"/>
  <c r="H23" i="1867"/>
  <c r="H23" i="1862"/>
  <c r="H23" i="1865"/>
  <c r="H23" i="1866"/>
  <c r="H23" i="1859"/>
  <c r="N16" i="1868"/>
  <c r="O16" i="1868" s="1"/>
  <c r="P16" i="1868" s="1"/>
  <c r="P23" i="1868" s="1"/>
  <c r="N17" i="1867"/>
  <c r="O17" i="1867" s="1"/>
  <c r="P17" i="1867" s="1"/>
  <c r="N17" i="1866"/>
  <c r="O17" i="1866" s="1"/>
  <c r="P17" i="1866" s="1"/>
  <c r="N16" i="1866"/>
  <c r="O16" i="1866" s="1"/>
  <c r="P16" i="1866" s="1"/>
  <c r="N17" i="1860"/>
  <c r="O17" i="1860" s="1"/>
  <c r="P17" i="1860" s="1"/>
  <c r="N16" i="1860"/>
  <c r="O16" i="1860" s="1"/>
  <c r="P16" i="1860" s="1"/>
  <c r="P23" i="1860" s="1"/>
  <c r="N18" i="1859"/>
  <c r="O18" i="1859" s="1"/>
  <c r="P18" i="1859" s="1"/>
  <c r="N18" i="1858"/>
  <c r="O18" i="1858" s="1"/>
  <c r="P18" i="1858" s="1"/>
  <c r="N17" i="1858"/>
  <c r="O17" i="1858" s="1"/>
  <c r="P17" i="1858" s="1"/>
  <c r="N16" i="1858"/>
  <c r="O16" i="1858" s="1"/>
  <c r="P16" i="1858" s="1"/>
  <c r="P23" i="1858" s="1"/>
  <c r="F16" i="1855"/>
  <c r="G16" i="1855" s="1"/>
  <c r="H16" i="1855" s="1"/>
  <c r="H23" i="1855" s="1"/>
  <c r="N16" i="1855"/>
  <c r="O16" i="1855" s="1"/>
  <c r="P16" i="1855" s="1"/>
  <c r="P23" i="1855" s="1"/>
  <c r="N16" i="1853"/>
  <c r="O16" i="1853" s="1"/>
  <c r="P16" i="1853" s="1"/>
  <c r="P23" i="1853" s="1"/>
  <c r="F44" i="1852"/>
  <c r="F43" i="1852"/>
  <c r="O30" i="1852"/>
  <c r="O29" i="1852"/>
  <c r="L23" i="1852"/>
  <c r="H44" i="1852" s="1"/>
  <c r="D23" i="1852"/>
  <c r="H43" i="1852" s="1"/>
  <c r="P22" i="1852"/>
  <c r="O22" i="1852"/>
  <c r="N22" i="1852"/>
  <c r="H22" i="1852"/>
  <c r="G22" i="1852"/>
  <c r="F22" i="1852"/>
  <c r="P21" i="1852"/>
  <c r="O21" i="1852"/>
  <c r="N21" i="1852"/>
  <c r="H21" i="1852"/>
  <c r="G21" i="1852"/>
  <c r="F21" i="1852"/>
  <c r="P20" i="1852"/>
  <c r="O20" i="1852"/>
  <c r="N20" i="1852"/>
  <c r="H20" i="1852"/>
  <c r="G20" i="1852"/>
  <c r="F20" i="1852"/>
  <c r="P19" i="1852"/>
  <c r="O19" i="1852"/>
  <c r="N19" i="1852"/>
  <c r="H19" i="1852"/>
  <c r="G19" i="1852"/>
  <c r="F19" i="1852"/>
  <c r="P18" i="1852"/>
  <c r="O18" i="1852"/>
  <c r="N18" i="1852"/>
  <c r="H18" i="1852"/>
  <c r="G18" i="1852"/>
  <c r="F18" i="1852"/>
  <c r="P17" i="1852"/>
  <c r="O17" i="1852"/>
  <c r="N17" i="1852"/>
  <c r="H17" i="1852"/>
  <c r="G17" i="1852"/>
  <c r="F17" i="1852"/>
  <c r="P16" i="1852"/>
  <c r="P23" i="1852" s="1"/>
  <c r="O16" i="1852"/>
  <c r="N16" i="1852"/>
  <c r="H16" i="1852"/>
  <c r="H23" i="1852" s="1"/>
  <c r="G16" i="1852"/>
  <c r="F16" i="1852"/>
  <c r="P23" i="1866" l="1"/>
  <c r="F44" i="1851"/>
  <c r="F43" i="1851"/>
  <c r="O30" i="1851"/>
  <c r="O29" i="1851"/>
  <c r="L23" i="1851"/>
  <c r="H44" i="1851" s="1"/>
  <c r="D23" i="1851"/>
  <c r="H43" i="1851" s="1"/>
  <c r="P22" i="1851"/>
  <c r="O22" i="1851"/>
  <c r="N22" i="1851"/>
  <c r="H22" i="1851"/>
  <c r="G22" i="1851"/>
  <c r="F22" i="1851"/>
  <c r="P21" i="1851"/>
  <c r="O21" i="1851"/>
  <c r="N21" i="1851"/>
  <c r="H21" i="1851"/>
  <c r="G21" i="1851"/>
  <c r="F21" i="1851"/>
  <c r="P20" i="1851"/>
  <c r="O20" i="1851"/>
  <c r="N20" i="1851"/>
  <c r="H20" i="1851"/>
  <c r="G20" i="1851"/>
  <c r="F20" i="1851"/>
  <c r="P19" i="1851"/>
  <c r="O19" i="1851"/>
  <c r="N19" i="1851"/>
  <c r="H19" i="1851"/>
  <c r="G19" i="1851"/>
  <c r="F19" i="1851"/>
  <c r="P18" i="1851"/>
  <c r="O18" i="1851"/>
  <c r="N18" i="1851"/>
  <c r="H18" i="1851"/>
  <c r="G18" i="1851"/>
  <c r="F18" i="1851"/>
  <c r="H17" i="1851"/>
  <c r="G17" i="1851"/>
  <c r="F17" i="1851"/>
  <c r="H16" i="1851"/>
  <c r="G16" i="1851"/>
  <c r="F16" i="1851"/>
  <c r="F44" i="1850"/>
  <c r="F43" i="1850"/>
  <c r="O30" i="1850"/>
  <c r="O29" i="1850"/>
  <c r="L23" i="1850"/>
  <c r="H44" i="1850" s="1"/>
  <c r="D23" i="1850"/>
  <c r="H43" i="1850" s="1"/>
  <c r="P22" i="1850"/>
  <c r="O22" i="1850"/>
  <c r="N22" i="1850"/>
  <c r="H22" i="1850"/>
  <c r="G22" i="1850"/>
  <c r="F22" i="1850"/>
  <c r="P21" i="1850"/>
  <c r="O21" i="1850"/>
  <c r="N21" i="1850"/>
  <c r="H21" i="1850"/>
  <c r="G21" i="1850"/>
  <c r="F21" i="1850"/>
  <c r="P20" i="1850"/>
  <c r="O20" i="1850"/>
  <c r="N20" i="1850"/>
  <c r="H20" i="1850"/>
  <c r="G20" i="1850"/>
  <c r="F20" i="1850"/>
  <c r="P19" i="1850"/>
  <c r="O19" i="1850"/>
  <c r="N19" i="1850"/>
  <c r="H19" i="1850"/>
  <c r="G19" i="1850"/>
  <c r="F19" i="1850"/>
  <c r="P18" i="1850"/>
  <c r="O18" i="1850"/>
  <c r="N18" i="1850"/>
  <c r="H18" i="1850"/>
  <c r="G18" i="1850"/>
  <c r="F18" i="1850"/>
  <c r="H17" i="1850"/>
  <c r="G17" i="1850"/>
  <c r="F17" i="1850"/>
  <c r="H16" i="1850"/>
  <c r="G16" i="1850"/>
  <c r="F16" i="1850"/>
  <c r="F44" i="1849"/>
  <c r="F43" i="1849"/>
  <c r="O30" i="1849"/>
  <c r="O29" i="1849"/>
  <c r="L23" i="1849"/>
  <c r="H44" i="1849" s="1"/>
  <c r="D23" i="1849"/>
  <c r="H43" i="1849" s="1"/>
  <c r="P22" i="1849"/>
  <c r="O22" i="1849"/>
  <c r="N22" i="1849"/>
  <c r="H22" i="1849"/>
  <c r="G22" i="1849"/>
  <c r="F22" i="1849"/>
  <c r="P21" i="1849"/>
  <c r="O21" i="1849"/>
  <c r="N21" i="1849"/>
  <c r="H21" i="1849"/>
  <c r="G21" i="1849"/>
  <c r="F21" i="1849"/>
  <c r="P20" i="1849"/>
  <c r="O20" i="1849"/>
  <c r="N20" i="1849"/>
  <c r="H20" i="1849"/>
  <c r="G20" i="1849"/>
  <c r="F20" i="1849"/>
  <c r="P19" i="1849"/>
  <c r="O19" i="1849"/>
  <c r="N19" i="1849"/>
  <c r="H19" i="1849"/>
  <c r="G19" i="1849"/>
  <c r="F19" i="1849"/>
  <c r="P18" i="1849"/>
  <c r="O18" i="1849"/>
  <c r="N18" i="1849"/>
  <c r="H18" i="1849"/>
  <c r="G18" i="1849"/>
  <c r="F18" i="1849"/>
  <c r="P17" i="1849"/>
  <c r="O17" i="1849"/>
  <c r="N17" i="1849"/>
  <c r="H17" i="1849"/>
  <c r="G17" i="1849"/>
  <c r="F17" i="1849"/>
  <c r="F44" i="1848"/>
  <c r="F43" i="1848"/>
  <c r="O30" i="1848"/>
  <c r="O29" i="1848"/>
  <c r="L23" i="1848"/>
  <c r="H44" i="1848" s="1"/>
  <c r="D23" i="1848"/>
  <c r="H43" i="1848" s="1"/>
  <c r="P22" i="1848"/>
  <c r="O22" i="1848"/>
  <c r="N22" i="1848"/>
  <c r="H22" i="1848"/>
  <c r="G22" i="1848"/>
  <c r="F22" i="1848"/>
  <c r="P21" i="1848"/>
  <c r="O21" i="1848"/>
  <c r="N21" i="1848"/>
  <c r="H21" i="1848"/>
  <c r="G21" i="1848"/>
  <c r="F21" i="1848"/>
  <c r="P20" i="1848"/>
  <c r="O20" i="1848"/>
  <c r="N20" i="1848"/>
  <c r="H20" i="1848"/>
  <c r="G20" i="1848"/>
  <c r="F20" i="1848"/>
  <c r="P19" i="1848"/>
  <c r="O19" i="1848"/>
  <c r="N19" i="1848"/>
  <c r="H19" i="1848"/>
  <c r="G19" i="1848"/>
  <c r="F19" i="1848"/>
  <c r="P18" i="1848"/>
  <c r="O18" i="1848"/>
  <c r="N18" i="1848"/>
  <c r="H18" i="1848"/>
  <c r="G18" i="1848"/>
  <c r="F18" i="1848"/>
  <c r="H17" i="1848"/>
  <c r="G17" i="1848"/>
  <c r="F17" i="1848"/>
  <c r="H16" i="1848"/>
  <c r="G16" i="1848"/>
  <c r="F16" i="1848"/>
  <c r="F44" i="1847"/>
  <c r="F43" i="1847"/>
  <c r="O30" i="1847"/>
  <c r="O29" i="1847"/>
  <c r="L23" i="1847"/>
  <c r="H44" i="1847" s="1"/>
  <c r="D23" i="1847"/>
  <c r="H43" i="1847" s="1"/>
  <c r="P22" i="1847"/>
  <c r="O22" i="1847"/>
  <c r="N22" i="1847"/>
  <c r="H22" i="1847"/>
  <c r="G22" i="1847"/>
  <c r="F22" i="1847"/>
  <c r="P21" i="1847"/>
  <c r="O21" i="1847"/>
  <c r="N21" i="1847"/>
  <c r="H21" i="1847"/>
  <c r="G21" i="1847"/>
  <c r="F21" i="1847"/>
  <c r="H20" i="1847"/>
  <c r="G20" i="1847"/>
  <c r="F20" i="1847"/>
  <c r="H19" i="1847"/>
  <c r="G19" i="1847"/>
  <c r="F19" i="1847"/>
  <c r="H18" i="1847"/>
  <c r="G18" i="1847"/>
  <c r="F18" i="1847"/>
  <c r="H17" i="1847"/>
  <c r="G17" i="1847"/>
  <c r="F17" i="1847"/>
  <c r="H16" i="1847"/>
  <c r="G16" i="1847"/>
  <c r="F16" i="1847"/>
  <c r="F44" i="1846"/>
  <c r="F43" i="1846"/>
  <c r="O30" i="1846"/>
  <c r="O29" i="1846"/>
  <c r="L23" i="1846"/>
  <c r="H44" i="1846" s="1"/>
  <c r="D23" i="1846"/>
  <c r="H43" i="1846" s="1"/>
  <c r="H22" i="1846"/>
  <c r="G22" i="1846"/>
  <c r="F22" i="1846"/>
  <c r="H21" i="1846"/>
  <c r="G21" i="1846"/>
  <c r="F21" i="1846"/>
  <c r="H20" i="1846"/>
  <c r="G20" i="1846"/>
  <c r="F20" i="1846"/>
  <c r="H19" i="1846"/>
  <c r="G19" i="1846"/>
  <c r="F19" i="1846"/>
  <c r="H18" i="1846"/>
  <c r="G18" i="1846"/>
  <c r="F18" i="1846"/>
  <c r="H17" i="1846"/>
  <c r="G17" i="1846"/>
  <c r="F17" i="1846"/>
  <c r="F43" i="1845"/>
  <c r="O29" i="1845"/>
  <c r="L23" i="1845"/>
  <c r="H44" i="1845" s="1"/>
  <c r="D23" i="1845"/>
  <c r="H43" i="1845" s="1"/>
  <c r="H22" i="1845"/>
  <c r="G22" i="1845"/>
  <c r="F22" i="1845"/>
  <c r="H21" i="1845"/>
  <c r="G21" i="1845"/>
  <c r="F21" i="1845"/>
  <c r="H20" i="1845"/>
  <c r="G20" i="1845"/>
  <c r="F20" i="1845"/>
  <c r="H19" i="1845"/>
  <c r="G19" i="1845"/>
  <c r="F19" i="1845"/>
  <c r="H18" i="1845"/>
  <c r="G18" i="1845"/>
  <c r="F18" i="1845"/>
  <c r="H17" i="1845"/>
  <c r="G17" i="1845"/>
  <c r="F17" i="1845"/>
  <c r="F44" i="1844"/>
  <c r="F43" i="1844"/>
  <c r="O30" i="1844"/>
  <c r="O29" i="1844"/>
  <c r="L23" i="1844"/>
  <c r="H44" i="1844" s="1"/>
  <c r="D23" i="1844"/>
  <c r="H43" i="1844" s="1"/>
  <c r="P22" i="1844"/>
  <c r="O22" i="1844"/>
  <c r="N22" i="1844"/>
  <c r="H22" i="1844"/>
  <c r="G22" i="1844"/>
  <c r="F22" i="1844"/>
  <c r="P21" i="1844"/>
  <c r="O21" i="1844"/>
  <c r="N21" i="1844"/>
  <c r="H21" i="1844"/>
  <c r="G21" i="1844"/>
  <c r="F21" i="1844"/>
  <c r="P20" i="1844"/>
  <c r="O20" i="1844"/>
  <c r="N20" i="1844"/>
  <c r="H20" i="1844"/>
  <c r="G20" i="1844"/>
  <c r="F20" i="1844"/>
  <c r="P19" i="1844"/>
  <c r="O19" i="1844"/>
  <c r="N19" i="1844"/>
  <c r="H19" i="1844"/>
  <c r="G19" i="1844"/>
  <c r="F19" i="1844"/>
  <c r="P18" i="1844"/>
  <c r="O18" i="1844"/>
  <c r="N18" i="1844"/>
  <c r="H18" i="1844"/>
  <c r="G18" i="1844"/>
  <c r="F18" i="1844"/>
  <c r="P17" i="1844"/>
  <c r="O17" i="1844"/>
  <c r="N17" i="1844"/>
  <c r="H17" i="1844"/>
  <c r="G17" i="1844"/>
  <c r="F17" i="1844"/>
  <c r="H16" i="1844"/>
  <c r="G16" i="1844"/>
  <c r="F16" i="1844"/>
  <c r="F44" i="1843"/>
  <c r="F43" i="1843"/>
  <c r="O30" i="1843"/>
  <c r="O29" i="1843"/>
  <c r="L23" i="1843"/>
  <c r="H44" i="1843" s="1"/>
  <c r="D23" i="1843"/>
  <c r="H43" i="1843" s="1"/>
  <c r="P22" i="1843"/>
  <c r="O22" i="1843"/>
  <c r="N22" i="1843"/>
  <c r="H22" i="1843"/>
  <c r="G22" i="1843"/>
  <c r="F22" i="1843"/>
  <c r="P21" i="1843"/>
  <c r="O21" i="1843"/>
  <c r="N21" i="1843"/>
  <c r="H21" i="1843"/>
  <c r="G21" i="1843"/>
  <c r="F21" i="1843"/>
  <c r="P20" i="1843"/>
  <c r="O20" i="1843"/>
  <c r="N20" i="1843"/>
  <c r="H20" i="1843"/>
  <c r="G20" i="1843"/>
  <c r="F20" i="1843"/>
  <c r="P19" i="1843"/>
  <c r="O19" i="1843"/>
  <c r="N19" i="1843"/>
  <c r="H19" i="1843"/>
  <c r="G19" i="1843"/>
  <c r="F19" i="1843"/>
  <c r="P18" i="1843"/>
  <c r="O18" i="1843"/>
  <c r="N18" i="1843"/>
  <c r="H18" i="1843"/>
  <c r="G18" i="1843"/>
  <c r="F18" i="1843"/>
  <c r="P17" i="1843"/>
  <c r="O17" i="1843"/>
  <c r="N17" i="1843"/>
  <c r="H17" i="1843"/>
  <c r="G17" i="1843"/>
  <c r="F17" i="1843"/>
  <c r="H16" i="1843"/>
  <c r="G16" i="1843"/>
  <c r="F16" i="1843"/>
  <c r="F44" i="1842"/>
  <c r="F43" i="1842"/>
  <c r="O30" i="1842"/>
  <c r="O29" i="1842"/>
  <c r="L23" i="1842"/>
  <c r="H44" i="1842" s="1"/>
  <c r="D23" i="1842"/>
  <c r="H43" i="1842" s="1"/>
  <c r="P22" i="1842"/>
  <c r="O22" i="1842"/>
  <c r="N22" i="1842"/>
  <c r="H22" i="1842"/>
  <c r="G22" i="1842"/>
  <c r="F22" i="1842"/>
  <c r="P21" i="1842"/>
  <c r="O21" i="1842"/>
  <c r="N21" i="1842"/>
  <c r="H21" i="1842"/>
  <c r="G21" i="1842"/>
  <c r="F21" i="1842"/>
  <c r="P20" i="1842"/>
  <c r="O20" i="1842"/>
  <c r="N20" i="1842"/>
  <c r="H20" i="1842"/>
  <c r="G20" i="1842"/>
  <c r="F20" i="1842"/>
  <c r="P19" i="1842"/>
  <c r="O19" i="1842"/>
  <c r="N19" i="1842"/>
  <c r="H19" i="1842"/>
  <c r="G19" i="1842"/>
  <c r="F19" i="1842"/>
  <c r="P18" i="1842"/>
  <c r="O18" i="1842"/>
  <c r="N18" i="1842"/>
  <c r="H18" i="1842"/>
  <c r="G18" i="1842"/>
  <c r="F18" i="1842"/>
  <c r="P17" i="1842"/>
  <c r="O17" i="1842"/>
  <c r="N17" i="1842"/>
  <c r="H17" i="1842"/>
  <c r="G17" i="1842"/>
  <c r="F17" i="1842"/>
  <c r="H16" i="1842"/>
  <c r="G16" i="1842"/>
  <c r="F16" i="1842"/>
  <c r="F44" i="1841"/>
  <c r="F43" i="1841"/>
  <c r="O30" i="1841"/>
  <c r="O29" i="1841"/>
  <c r="L23" i="1841"/>
  <c r="H44" i="1841" s="1"/>
  <c r="D23" i="1841"/>
  <c r="H43" i="1841" s="1"/>
  <c r="P22" i="1841"/>
  <c r="O22" i="1841"/>
  <c r="N22" i="1841"/>
  <c r="H22" i="1841"/>
  <c r="G22" i="1841"/>
  <c r="F22" i="1841"/>
  <c r="P21" i="1841"/>
  <c r="O21" i="1841"/>
  <c r="N21" i="1841"/>
  <c r="H21" i="1841"/>
  <c r="G21" i="1841"/>
  <c r="F21" i="1841"/>
  <c r="P20" i="1841"/>
  <c r="O20" i="1841"/>
  <c r="N20" i="1841"/>
  <c r="H20" i="1841"/>
  <c r="G20" i="1841"/>
  <c r="F20" i="1841"/>
  <c r="P19" i="1841"/>
  <c r="O19" i="1841"/>
  <c r="N19" i="1841"/>
  <c r="H19" i="1841"/>
  <c r="G19" i="1841"/>
  <c r="F19" i="1841"/>
  <c r="P18" i="1841"/>
  <c r="O18" i="1841"/>
  <c r="N18" i="1841"/>
  <c r="H18" i="1841"/>
  <c r="G18" i="1841"/>
  <c r="F18" i="1841"/>
  <c r="P17" i="1841"/>
  <c r="O17" i="1841"/>
  <c r="N17" i="1841"/>
  <c r="H17" i="1841"/>
  <c r="G17" i="1841"/>
  <c r="F17" i="1841"/>
  <c r="H16" i="1841"/>
  <c r="G16" i="1841"/>
  <c r="F16" i="1841"/>
  <c r="F44" i="1840"/>
  <c r="F43" i="1840"/>
  <c r="O30" i="1840"/>
  <c r="O29" i="1840"/>
  <c r="L23" i="1840"/>
  <c r="H44" i="1840" s="1"/>
  <c r="D23" i="1840"/>
  <c r="H43" i="1840" s="1"/>
  <c r="P22" i="1840"/>
  <c r="O22" i="1840"/>
  <c r="N22" i="1840"/>
  <c r="H22" i="1840"/>
  <c r="G22" i="1840"/>
  <c r="F22" i="1840"/>
  <c r="P21" i="1840"/>
  <c r="O21" i="1840"/>
  <c r="N21" i="1840"/>
  <c r="H21" i="1840"/>
  <c r="G21" i="1840"/>
  <c r="F21" i="1840"/>
  <c r="P20" i="1840"/>
  <c r="O20" i="1840"/>
  <c r="N20" i="1840"/>
  <c r="H20" i="1840"/>
  <c r="G20" i="1840"/>
  <c r="F20" i="1840"/>
  <c r="P19" i="1840"/>
  <c r="O19" i="1840"/>
  <c r="N19" i="1840"/>
  <c r="H19" i="1840"/>
  <c r="G19" i="1840"/>
  <c r="F19" i="1840"/>
  <c r="P18" i="1840"/>
  <c r="O18" i="1840"/>
  <c r="N18" i="1840"/>
  <c r="H18" i="1840"/>
  <c r="G18" i="1840"/>
  <c r="F18" i="1840"/>
  <c r="P17" i="1840"/>
  <c r="O17" i="1840"/>
  <c r="N17" i="1840"/>
  <c r="H17" i="1840"/>
  <c r="G17" i="1840"/>
  <c r="F17" i="1840"/>
  <c r="F44" i="1839"/>
  <c r="F43" i="1839"/>
  <c r="O30" i="1839"/>
  <c r="O29" i="1839"/>
  <c r="L23" i="1839"/>
  <c r="H44" i="1839" s="1"/>
  <c r="D23" i="1839"/>
  <c r="H43" i="1839" s="1"/>
  <c r="P22" i="1839"/>
  <c r="O22" i="1839"/>
  <c r="N22" i="1839"/>
  <c r="H22" i="1839"/>
  <c r="G22" i="1839"/>
  <c r="F22" i="1839"/>
  <c r="P21" i="1839"/>
  <c r="O21" i="1839"/>
  <c r="N21" i="1839"/>
  <c r="H21" i="1839"/>
  <c r="G21" i="1839"/>
  <c r="F21" i="1839"/>
  <c r="P20" i="1839"/>
  <c r="O20" i="1839"/>
  <c r="N20" i="1839"/>
  <c r="H20" i="1839"/>
  <c r="G20" i="1839"/>
  <c r="F20" i="1839"/>
  <c r="P19" i="1839"/>
  <c r="O19" i="1839"/>
  <c r="N19" i="1839"/>
  <c r="H19" i="1839"/>
  <c r="G19" i="1839"/>
  <c r="F19" i="1839"/>
  <c r="H18" i="1839"/>
  <c r="G18" i="1839"/>
  <c r="F18" i="1839"/>
  <c r="H17" i="1839"/>
  <c r="G17" i="1839"/>
  <c r="F17" i="1839"/>
  <c r="F44" i="1838"/>
  <c r="F43" i="1838"/>
  <c r="O30" i="1838"/>
  <c r="O29" i="1838"/>
  <c r="L23" i="1838"/>
  <c r="H44" i="1838" s="1"/>
  <c r="D23" i="1838"/>
  <c r="H43" i="1838" s="1"/>
  <c r="P22" i="1838"/>
  <c r="O22" i="1838"/>
  <c r="N22" i="1838"/>
  <c r="H22" i="1838"/>
  <c r="G22" i="1838"/>
  <c r="F22" i="1838"/>
  <c r="P21" i="1838"/>
  <c r="O21" i="1838"/>
  <c r="N21" i="1838"/>
  <c r="H21" i="1838"/>
  <c r="G21" i="1838"/>
  <c r="F21" i="1838"/>
  <c r="P20" i="1838"/>
  <c r="O20" i="1838"/>
  <c r="N20" i="1838"/>
  <c r="H20" i="1838"/>
  <c r="G20" i="1838"/>
  <c r="F20" i="1838"/>
  <c r="P19" i="1838"/>
  <c r="O19" i="1838"/>
  <c r="N19" i="1838"/>
  <c r="H19" i="1838"/>
  <c r="G19" i="1838"/>
  <c r="F19" i="1838"/>
  <c r="H18" i="1838"/>
  <c r="G18" i="1838"/>
  <c r="F18" i="1838"/>
  <c r="H17" i="1838"/>
  <c r="G17" i="1838"/>
  <c r="F17" i="1838"/>
  <c r="F44" i="1837"/>
  <c r="F43" i="1837"/>
  <c r="O30" i="1837"/>
  <c r="O29" i="1837"/>
  <c r="L23" i="1837"/>
  <c r="H44" i="1837" s="1"/>
  <c r="D23" i="1837"/>
  <c r="H43" i="1837" s="1"/>
  <c r="P22" i="1837"/>
  <c r="O22" i="1837"/>
  <c r="N22" i="1837"/>
  <c r="H22" i="1837"/>
  <c r="G22" i="1837"/>
  <c r="F22" i="1837"/>
  <c r="P21" i="1837"/>
  <c r="O21" i="1837"/>
  <c r="N21" i="1837"/>
  <c r="H21" i="1837"/>
  <c r="G21" i="1837"/>
  <c r="F21" i="1837"/>
  <c r="P20" i="1837"/>
  <c r="O20" i="1837"/>
  <c r="N20" i="1837"/>
  <c r="H20" i="1837"/>
  <c r="G20" i="1837"/>
  <c r="F20" i="1837"/>
  <c r="H19" i="1837"/>
  <c r="G19" i="1837"/>
  <c r="F19" i="1837"/>
  <c r="H18" i="1837"/>
  <c r="G18" i="1837"/>
  <c r="F18" i="1837"/>
  <c r="H17" i="1837"/>
  <c r="G17" i="1837"/>
  <c r="F17" i="1837"/>
  <c r="F44" i="1836"/>
  <c r="F43" i="1836"/>
  <c r="O30" i="1836"/>
  <c r="O29" i="1836"/>
  <c r="L23" i="1836"/>
  <c r="H44" i="1836" s="1"/>
  <c r="D23" i="1836"/>
  <c r="H43" i="1836" s="1"/>
  <c r="P22" i="1836"/>
  <c r="O22" i="1836"/>
  <c r="N22" i="1836"/>
  <c r="H22" i="1836"/>
  <c r="G22" i="1836"/>
  <c r="F22" i="1836"/>
  <c r="P21" i="1836"/>
  <c r="O21" i="1836"/>
  <c r="N21" i="1836"/>
  <c r="H21" i="1836"/>
  <c r="G21" i="1836"/>
  <c r="F21" i="1836"/>
  <c r="P20" i="1836"/>
  <c r="O20" i="1836"/>
  <c r="N20" i="1836"/>
  <c r="H20" i="1836"/>
  <c r="G20" i="1836"/>
  <c r="F20" i="1836"/>
  <c r="H19" i="1836"/>
  <c r="G19" i="1836"/>
  <c r="F19" i="1836"/>
  <c r="H18" i="1836"/>
  <c r="G18" i="1836"/>
  <c r="F18" i="1836"/>
  <c r="H17" i="1836"/>
  <c r="G17" i="1836"/>
  <c r="F17" i="1836"/>
  <c r="H16" i="1836"/>
  <c r="G16" i="1836"/>
  <c r="F16" i="1836"/>
  <c r="F44" i="1835"/>
  <c r="F43" i="1835"/>
  <c r="O30" i="1835"/>
  <c r="O29" i="1835"/>
  <c r="L23" i="1835"/>
  <c r="H44" i="1835" s="1"/>
  <c r="D23" i="1835"/>
  <c r="H43" i="1835" s="1"/>
  <c r="P22" i="1835"/>
  <c r="O22" i="1835"/>
  <c r="N22" i="1835"/>
  <c r="H22" i="1835"/>
  <c r="G22" i="1835"/>
  <c r="F22" i="1835"/>
  <c r="P21" i="1835"/>
  <c r="O21" i="1835"/>
  <c r="N21" i="1835"/>
  <c r="H21" i="1835"/>
  <c r="G21" i="1835"/>
  <c r="F21" i="1835"/>
  <c r="P20" i="1835"/>
  <c r="O20" i="1835"/>
  <c r="N20" i="1835"/>
  <c r="H20" i="1835"/>
  <c r="G20" i="1835"/>
  <c r="F20" i="1835"/>
  <c r="H19" i="1835"/>
  <c r="G19" i="1835"/>
  <c r="F19" i="1835"/>
  <c r="H18" i="1835"/>
  <c r="G18" i="1835"/>
  <c r="F18" i="1835"/>
  <c r="H17" i="1835"/>
  <c r="G17" i="1835"/>
  <c r="F17" i="1835"/>
  <c r="H16" i="1835"/>
  <c r="G16" i="1835"/>
  <c r="F16" i="1835"/>
  <c r="F44" i="1834"/>
  <c r="F43" i="1834"/>
  <c r="O30" i="1834"/>
  <c r="O29" i="1834"/>
  <c r="L23" i="1834"/>
  <c r="H44" i="1834" s="1"/>
  <c r="D23" i="1834"/>
  <c r="H43" i="1834" s="1"/>
  <c r="P22" i="1834"/>
  <c r="O22" i="1834"/>
  <c r="N22" i="1834"/>
  <c r="H22" i="1834"/>
  <c r="G22" i="1834"/>
  <c r="F22" i="1834"/>
  <c r="P21" i="1834"/>
  <c r="O21" i="1834"/>
  <c r="N21" i="1834"/>
  <c r="H21" i="1834"/>
  <c r="G21" i="1834"/>
  <c r="F21" i="1834"/>
  <c r="P20" i="1834"/>
  <c r="O20" i="1834"/>
  <c r="N20" i="1834"/>
  <c r="H20" i="1834"/>
  <c r="G20" i="1834"/>
  <c r="F20" i="1834"/>
  <c r="P19" i="1834"/>
  <c r="O19" i="1834"/>
  <c r="N19" i="1834"/>
  <c r="H19" i="1834"/>
  <c r="G19" i="1834"/>
  <c r="F19" i="1834"/>
  <c r="P18" i="1834"/>
  <c r="O18" i="1834"/>
  <c r="N18" i="1834"/>
  <c r="H18" i="1834"/>
  <c r="G18" i="1834"/>
  <c r="F18" i="1834"/>
  <c r="F44" i="1833"/>
  <c r="F43" i="1833"/>
  <c r="O30" i="1833"/>
  <c r="O29" i="1833"/>
  <c r="L23" i="1833"/>
  <c r="H44" i="1833" s="1"/>
  <c r="D23" i="1833"/>
  <c r="H43" i="1833" s="1"/>
  <c r="P22" i="1833"/>
  <c r="O22" i="1833"/>
  <c r="N22" i="1833"/>
  <c r="H22" i="1833"/>
  <c r="G22" i="1833"/>
  <c r="F22" i="1833"/>
  <c r="P21" i="1833"/>
  <c r="O21" i="1833"/>
  <c r="N21" i="1833"/>
  <c r="H21" i="1833"/>
  <c r="G21" i="1833"/>
  <c r="F21" i="1833"/>
  <c r="P20" i="1833"/>
  <c r="O20" i="1833"/>
  <c r="N20" i="1833"/>
  <c r="H20" i="1833"/>
  <c r="G20" i="1833"/>
  <c r="F20" i="1833"/>
  <c r="H19" i="1833"/>
  <c r="G19" i="1833"/>
  <c r="F19" i="1833"/>
  <c r="H18" i="1833"/>
  <c r="G18" i="1833"/>
  <c r="F18" i="1833"/>
  <c r="H17" i="1833"/>
  <c r="G17" i="1833"/>
  <c r="F17" i="1833"/>
  <c r="H16" i="1833"/>
  <c r="G16" i="1833"/>
  <c r="F16" i="1833"/>
  <c r="F44" i="1832"/>
  <c r="F43" i="1832"/>
  <c r="O30" i="1832"/>
  <c r="O29" i="1832"/>
  <c r="L23" i="1832"/>
  <c r="H44" i="1832" s="1"/>
  <c r="D23" i="1832"/>
  <c r="H43" i="1832" s="1"/>
  <c r="P22" i="1832"/>
  <c r="O22" i="1832"/>
  <c r="N22" i="1832"/>
  <c r="H22" i="1832"/>
  <c r="G22" i="1832"/>
  <c r="F22" i="1832"/>
  <c r="P21" i="1832"/>
  <c r="O21" i="1832"/>
  <c r="N21" i="1832"/>
  <c r="H21" i="1832"/>
  <c r="G21" i="1832"/>
  <c r="F21" i="1832"/>
  <c r="H20" i="1832"/>
  <c r="G20" i="1832"/>
  <c r="F20" i="1832"/>
  <c r="H19" i="1832"/>
  <c r="G19" i="1832"/>
  <c r="F19" i="1832"/>
  <c r="H18" i="1832"/>
  <c r="G18" i="1832"/>
  <c r="F18" i="1832"/>
  <c r="H17" i="1832"/>
  <c r="G17" i="1832"/>
  <c r="F17" i="1832"/>
  <c r="F44" i="1831"/>
  <c r="F43" i="1831"/>
  <c r="O30" i="1831"/>
  <c r="O29" i="1831"/>
  <c r="L23" i="1831"/>
  <c r="H44" i="1831" s="1"/>
  <c r="D23" i="1831"/>
  <c r="H43" i="1831" s="1"/>
  <c r="P22" i="1831"/>
  <c r="O22" i="1831"/>
  <c r="N22" i="1831"/>
  <c r="H22" i="1831"/>
  <c r="G22" i="1831"/>
  <c r="F22" i="1831"/>
  <c r="P21" i="1831"/>
  <c r="O21" i="1831"/>
  <c r="N21" i="1831"/>
  <c r="H21" i="1831"/>
  <c r="G21" i="1831"/>
  <c r="F21" i="1831"/>
  <c r="H20" i="1831"/>
  <c r="G20" i="1831"/>
  <c r="F20" i="1831"/>
  <c r="H19" i="1831"/>
  <c r="G19" i="1831"/>
  <c r="F19" i="1831"/>
  <c r="H18" i="1831"/>
  <c r="G18" i="1831"/>
  <c r="F18" i="1831"/>
  <c r="H17" i="1831"/>
  <c r="G17" i="1831"/>
  <c r="F17" i="1831"/>
  <c r="F44" i="1830"/>
  <c r="F43" i="1830"/>
  <c r="O30" i="1830"/>
  <c r="O29" i="1830"/>
  <c r="L23" i="1830"/>
  <c r="H44" i="1830" s="1"/>
  <c r="D23" i="1830"/>
  <c r="H43" i="1830" s="1"/>
  <c r="P22" i="1830"/>
  <c r="O22" i="1830"/>
  <c r="N22" i="1830"/>
  <c r="H22" i="1830"/>
  <c r="G22" i="1830"/>
  <c r="F22" i="1830"/>
  <c r="P21" i="1830"/>
  <c r="O21" i="1830"/>
  <c r="N21" i="1830"/>
  <c r="H21" i="1830"/>
  <c r="G21" i="1830"/>
  <c r="F21" i="1830"/>
  <c r="P20" i="1830"/>
  <c r="O20" i="1830"/>
  <c r="N20" i="1830"/>
  <c r="H20" i="1830"/>
  <c r="G20" i="1830"/>
  <c r="F20" i="1830"/>
  <c r="P19" i="1830"/>
  <c r="O19" i="1830"/>
  <c r="N19" i="1830"/>
  <c r="H19" i="1830"/>
  <c r="G19" i="1830"/>
  <c r="F19" i="1830"/>
  <c r="P18" i="1830"/>
  <c r="O18" i="1830"/>
  <c r="N18" i="1830"/>
  <c r="H18" i="1830"/>
  <c r="G18" i="1830"/>
  <c r="F18" i="1830"/>
  <c r="F44" i="1825"/>
  <c r="F43" i="1825"/>
  <c r="O30" i="1825"/>
  <c r="O29" i="1825"/>
  <c r="L23" i="1825"/>
  <c r="H44" i="1825" s="1"/>
  <c r="D23" i="1825"/>
  <c r="H43" i="1825" s="1"/>
  <c r="P22" i="1825"/>
  <c r="O22" i="1825"/>
  <c r="N22" i="1825"/>
  <c r="H22" i="1825"/>
  <c r="G22" i="1825"/>
  <c r="F22" i="1825"/>
  <c r="P21" i="1825"/>
  <c r="O21" i="1825"/>
  <c r="N21" i="1825"/>
  <c r="H21" i="1825"/>
  <c r="G21" i="1825"/>
  <c r="F21" i="1825"/>
  <c r="P20" i="1825"/>
  <c r="O20" i="1825"/>
  <c r="N20" i="1825"/>
  <c r="H20" i="1825"/>
  <c r="G20" i="1825"/>
  <c r="F20" i="1825"/>
  <c r="P19" i="1825"/>
  <c r="O19" i="1825"/>
  <c r="N19" i="1825"/>
  <c r="H19" i="1825"/>
  <c r="G19" i="1825"/>
  <c r="F19" i="1825"/>
  <c r="P18" i="1825"/>
  <c r="O18" i="1825"/>
  <c r="N18" i="1825"/>
  <c r="H18" i="1825"/>
  <c r="G18" i="1825"/>
  <c r="F18" i="1825"/>
  <c r="P17" i="1825"/>
  <c r="O17" i="1825"/>
  <c r="N17" i="1825"/>
  <c r="H17" i="1825"/>
  <c r="G17" i="1825"/>
  <c r="F17" i="1825"/>
  <c r="P16" i="1825"/>
  <c r="O16" i="1825"/>
  <c r="N16" i="1825"/>
  <c r="F44" i="1824"/>
  <c r="F43" i="1824"/>
  <c r="O30" i="1824"/>
  <c r="O29" i="1824"/>
  <c r="L23" i="1824"/>
  <c r="H44" i="1824" s="1"/>
  <c r="D23" i="1824"/>
  <c r="H43" i="1824" s="1"/>
  <c r="P22" i="1824"/>
  <c r="O22" i="1824"/>
  <c r="N22" i="1824"/>
  <c r="H22" i="1824"/>
  <c r="G22" i="1824"/>
  <c r="F22" i="1824"/>
  <c r="P21" i="1824"/>
  <c r="O21" i="1824"/>
  <c r="N21" i="1824"/>
  <c r="H21" i="1824"/>
  <c r="G21" i="1824"/>
  <c r="F21" i="1824"/>
  <c r="P20" i="1824"/>
  <c r="O20" i="1824"/>
  <c r="N20" i="1824"/>
  <c r="H20" i="1824"/>
  <c r="G20" i="1824"/>
  <c r="F20" i="1824"/>
  <c r="P19" i="1824"/>
  <c r="O19" i="1824"/>
  <c r="N19" i="1824"/>
  <c r="H19" i="1824"/>
  <c r="G19" i="1824"/>
  <c r="F19" i="1824"/>
  <c r="P18" i="1824"/>
  <c r="O18" i="1824"/>
  <c r="N18" i="1824"/>
  <c r="H18" i="1824"/>
  <c r="G18" i="1824"/>
  <c r="F18" i="1824"/>
  <c r="F44" i="1823"/>
  <c r="F43" i="1823"/>
  <c r="O30" i="1823"/>
  <c r="O29" i="1823"/>
  <c r="L23" i="1823"/>
  <c r="H44" i="1823" s="1"/>
  <c r="D23" i="1823"/>
  <c r="H43" i="1823" s="1"/>
  <c r="P22" i="1823"/>
  <c r="O22" i="1823"/>
  <c r="N22" i="1823"/>
  <c r="H22" i="1823"/>
  <c r="G22" i="1823"/>
  <c r="F22" i="1823"/>
  <c r="P21" i="1823"/>
  <c r="O21" i="1823"/>
  <c r="N21" i="1823"/>
  <c r="H21" i="1823"/>
  <c r="G21" i="1823"/>
  <c r="F21" i="1823"/>
  <c r="P20" i="1823"/>
  <c r="O20" i="1823"/>
  <c r="N20" i="1823"/>
  <c r="H20" i="1823"/>
  <c r="G20" i="1823"/>
  <c r="F20" i="1823"/>
  <c r="P19" i="1823"/>
  <c r="O19" i="1823"/>
  <c r="N19" i="1823"/>
  <c r="H19" i="1823"/>
  <c r="G19" i="1823"/>
  <c r="F19" i="1823"/>
  <c r="P18" i="1823"/>
  <c r="O18" i="1823"/>
  <c r="N18" i="1823"/>
  <c r="H18" i="1823"/>
  <c r="G18" i="1823"/>
  <c r="F18" i="1823"/>
  <c r="P17" i="1823"/>
  <c r="O17" i="1823"/>
  <c r="N17" i="1823"/>
  <c r="F44" i="1822"/>
  <c r="F43" i="1822"/>
  <c r="O30" i="1822"/>
  <c r="O29" i="1822"/>
  <c r="L23" i="1822"/>
  <c r="H44" i="1822" s="1"/>
  <c r="D23" i="1822"/>
  <c r="H43" i="1822" s="1"/>
  <c r="P22" i="1822"/>
  <c r="O22" i="1822"/>
  <c r="N22" i="1822"/>
  <c r="H22" i="1822"/>
  <c r="G22" i="1822"/>
  <c r="F22" i="1822"/>
  <c r="P21" i="1822"/>
  <c r="O21" i="1822"/>
  <c r="N21" i="1822"/>
  <c r="H21" i="1822"/>
  <c r="G21" i="1822"/>
  <c r="F21" i="1822"/>
  <c r="P20" i="1822"/>
  <c r="O20" i="1822"/>
  <c r="N20" i="1822"/>
  <c r="H20" i="1822"/>
  <c r="G20" i="1822"/>
  <c r="F20" i="1822"/>
  <c r="P19" i="1822"/>
  <c r="O19" i="1822"/>
  <c r="N19" i="1822"/>
  <c r="H19" i="1822"/>
  <c r="G19" i="1822"/>
  <c r="F19" i="1822"/>
  <c r="P18" i="1822"/>
  <c r="O18" i="1822"/>
  <c r="N18" i="1822"/>
  <c r="H18" i="1822"/>
  <c r="G18" i="1822"/>
  <c r="F18" i="1822"/>
  <c r="P17" i="1822"/>
  <c r="O17" i="1822"/>
  <c r="N17" i="1822"/>
  <c r="H17" i="1822"/>
  <c r="G17" i="1822"/>
  <c r="F17" i="1822"/>
  <c r="H16" i="1822"/>
  <c r="G16" i="1822"/>
  <c r="F16" i="1822"/>
  <c r="F44" i="1821"/>
  <c r="F43" i="1821"/>
  <c r="O30" i="1821"/>
  <c r="O29" i="1821"/>
  <c r="L23" i="1821"/>
  <c r="H44" i="1821" s="1"/>
  <c r="D23" i="1821"/>
  <c r="H43" i="1821" s="1"/>
  <c r="P22" i="1821"/>
  <c r="O22" i="1821"/>
  <c r="N22" i="1821"/>
  <c r="H22" i="1821"/>
  <c r="G22" i="1821"/>
  <c r="F22" i="1821"/>
  <c r="P21" i="1821"/>
  <c r="O21" i="1821"/>
  <c r="N21" i="1821"/>
  <c r="H21" i="1821"/>
  <c r="G21" i="1821"/>
  <c r="F21" i="1821"/>
  <c r="P20" i="1821"/>
  <c r="O20" i="1821"/>
  <c r="N20" i="1821"/>
  <c r="H20" i="1821"/>
  <c r="G20" i="1821"/>
  <c r="F20" i="1821"/>
  <c r="P19" i="1821"/>
  <c r="O19" i="1821"/>
  <c r="N19" i="1821"/>
  <c r="H19" i="1821"/>
  <c r="G19" i="1821"/>
  <c r="F19" i="1821"/>
  <c r="P18" i="1821"/>
  <c r="O18" i="1821"/>
  <c r="N18" i="1821"/>
  <c r="H18" i="1821"/>
  <c r="G18" i="1821"/>
  <c r="F18" i="1821"/>
  <c r="H17" i="1821"/>
  <c r="G17" i="1821"/>
  <c r="F17" i="1821"/>
  <c r="H16" i="1821"/>
  <c r="G16" i="1821"/>
  <c r="F16" i="1821"/>
  <c r="F44" i="1820"/>
  <c r="F43" i="1820"/>
  <c r="O30" i="1820"/>
  <c r="O29" i="1820"/>
  <c r="L23" i="1820"/>
  <c r="H44" i="1820" s="1"/>
  <c r="D23" i="1820"/>
  <c r="H43" i="1820" s="1"/>
  <c r="P22" i="1820"/>
  <c r="O22" i="1820"/>
  <c r="N22" i="1820"/>
  <c r="H22" i="1820"/>
  <c r="G22" i="1820"/>
  <c r="F22" i="1820"/>
  <c r="P21" i="1820"/>
  <c r="O21" i="1820"/>
  <c r="N21" i="1820"/>
  <c r="H21" i="1820"/>
  <c r="G21" i="1820"/>
  <c r="F21" i="1820"/>
  <c r="P20" i="1820"/>
  <c r="O20" i="1820"/>
  <c r="N20" i="1820"/>
  <c r="H20" i="1820"/>
  <c r="G20" i="1820"/>
  <c r="F20" i="1820"/>
  <c r="P19" i="1820"/>
  <c r="O19" i="1820"/>
  <c r="N19" i="1820"/>
  <c r="H19" i="1820"/>
  <c r="G19" i="1820"/>
  <c r="F19" i="1820"/>
  <c r="P18" i="1820"/>
  <c r="O18" i="1820"/>
  <c r="N18" i="1820"/>
  <c r="H18" i="1820"/>
  <c r="G18" i="1820"/>
  <c r="F18" i="1820"/>
  <c r="H17" i="1820"/>
  <c r="G17" i="1820"/>
  <c r="F17" i="1820"/>
  <c r="H16" i="1820"/>
  <c r="G16" i="1820"/>
  <c r="F16" i="1820"/>
  <c r="F44" i="1819"/>
  <c r="F43" i="1819"/>
  <c r="O30" i="1819"/>
  <c r="O29" i="1819"/>
  <c r="L23" i="1819"/>
  <c r="H44" i="1819" s="1"/>
  <c r="D23" i="1819"/>
  <c r="H43" i="1819" s="1"/>
  <c r="P22" i="1819"/>
  <c r="O22" i="1819"/>
  <c r="N22" i="1819"/>
  <c r="H22" i="1819"/>
  <c r="G22" i="1819"/>
  <c r="F22" i="1819"/>
  <c r="P21" i="1819"/>
  <c r="O21" i="1819"/>
  <c r="N21" i="1819"/>
  <c r="H21" i="1819"/>
  <c r="G21" i="1819"/>
  <c r="F21" i="1819"/>
  <c r="P20" i="1819"/>
  <c r="O20" i="1819"/>
  <c r="N20" i="1819"/>
  <c r="H20" i="1819"/>
  <c r="G20" i="1819"/>
  <c r="F20" i="1819"/>
  <c r="P19" i="1819"/>
  <c r="O19" i="1819"/>
  <c r="N19" i="1819"/>
  <c r="H19" i="1819"/>
  <c r="G19" i="1819"/>
  <c r="F19" i="1819"/>
  <c r="P18" i="1819"/>
  <c r="O18" i="1819"/>
  <c r="N18" i="1819"/>
  <c r="H18" i="1819"/>
  <c r="G18" i="1819"/>
  <c r="F18" i="1819"/>
  <c r="P17" i="1819"/>
  <c r="O17" i="1819"/>
  <c r="N17" i="1819"/>
  <c r="H17" i="1819"/>
  <c r="G17" i="1819"/>
  <c r="F17" i="1819"/>
  <c r="P16" i="1819"/>
  <c r="O16" i="1819"/>
  <c r="N16" i="1819"/>
  <c r="H16" i="1819"/>
  <c r="G16" i="1819"/>
  <c r="F16" i="1819"/>
  <c r="F44" i="1817"/>
  <c r="F43" i="1817"/>
  <c r="O30" i="1817"/>
  <c r="O29" i="1817"/>
  <c r="L23" i="1817"/>
  <c r="H44" i="1817" s="1"/>
  <c r="D23" i="1817"/>
  <c r="H43" i="1817" s="1"/>
  <c r="P22" i="1817"/>
  <c r="O22" i="1817"/>
  <c r="N22" i="1817"/>
  <c r="H22" i="1817"/>
  <c r="G22" i="1817"/>
  <c r="F22" i="1817"/>
  <c r="P21" i="1817"/>
  <c r="O21" i="1817"/>
  <c r="N21" i="1817"/>
  <c r="H21" i="1817"/>
  <c r="G21" i="1817"/>
  <c r="F21" i="1817"/>
  <c r="P20" i="1817"/>
  <c r="O20" i="1817"/>
  <c r="N20" i="1817"/>
  <c r="H20" i="1817"/>
  <c r="G20" i="1817"/>
  <c r="F20" i="1817"/>
  <c r="P19" i="1817"/>
  <c r="O19" i="1817"/>
  <c r="N19" i="1817"/>
  <c r="H19" i="1817"/>
  <c r="G19" i="1817"/>
  <c r="F19" i="1817"/>
  <c r="P18" i="1817"/>
  <c r="O18" i="1817"/>
  <c r="N18" i="1817"/>
  <c r="H18" i="1817"/>
  <c r="G18" i="1817"/>
  <c r="F18" i="1817"/>
  <c r="P17" i="1817"/>
  <c r="O17" i="1817"/>
  <c r="N17" i="1817"/>
  <c r="H17" i="1817"/>
  <c r="G17" i="1817"/>
  <c r="F17" i="1817"/>
  <c r="P16" i="1817"/>
  <c r="O16" i="1817"/>
  <c r="N16" i="1817"/>
  <c r="H16" i="1817"/>
  <c r="G16" i="1817"/>
  <c r="F16" i="1817"/>
  <c r="F44" i="1816"/>
  <c r="F43" i="1816"/>
  <c r="O30" i="1816"/>
  <c r="O29" i="1816"/>
  <c r="L23" i="1816"/>
  <c r="H44" i="1816" s="1"/>
  <c r="D23" i="1816"/>
  <c r="H43" i="1816" s="1"/>
  <c r="P22" i="1816"/>
  <c r="O22" i="1816"/>
  <c r="N22" i="1816"/>
  <c r="H22" i="1816"/>
  <c r="G22" i="1816"/>
  <c r="F22" i="1816"/>
  <c r="P21" i="1816"/>
  <c r="O21" i="1816"/>
  <c r="N21" i="1816"/>
  <c r="H21" i="1816"/>
  <c r="G21" i="1816"/>
  <c r="F21" i="1816"/>
  <c r="P20" i="1816"/>
  <c r="O20" i="1816"/>
  <c r="N20" i="1816"/>
  <c r="H20" i="1816"/>
  <c r="G20" i="1816"/>
  <c r="F20" i="1816"/>
  <c r="P19" i="1816"/>
  <c r="O19" i="1816"/>
  <c r="N19" i="1816"/>
  <c r="H19" i="1816"/>
  <c r="G19" i="1816"/>
  <c r="F19" i="1816"/>
  <c r="P18" i="1816"/>
  <c r="O18" i="1816"/>
  <c r="N18" i="1816"/>
  <c r="H18" i="1816"/>
  <c r="G18" i="1816"/>
  <c r="F18" i="1816"/>
  <c r="P17" i="1816"/>
  <c r="O17" i="1816"/>
  <c r="N17" i="1816"/>
  <c r="H17" i="1816"/>
  <c r="G17" i="1816"/>
  <c r="F17" i="1816"/>
  <c r="H16" i="1816"/>
  <c r="G16" i="1816"/>
  <c r="F16" i="1816"/>
  <c r="F44" i="1815"/>
  <c r="F43" i="1815"/>
  <c r="O30" i="1815"/>
  <c r="O29" i="1815"/>
  <c r="L23" i="1815"/>
  <c r="H44" i="1815" s="1"/>
  <c r="D23" i="1815"/>
  <c r="H43" i="1815" s="1"/>
  <c r="P22" i="1815"/>
  <c r="O22" i="1815"/>
  <c r="N22" i="1815"/>
  <c r="H22" i="1815"/>
  <c r="G22" i="1815"/>
  <c r="F22" i="1815"/>
  <c r="P21" i="1815"/>
  <c r="O21" i="1815"/>
  <c r="N21" i="1815"/>
  <c r="H21" i="1815"/>
  <c r="G21" i="1815"/>
  <c r="F21" i="1815"/>
  <c r="P20" i="1815"/>
  <c r="O20" i="1815"/>
  <c r="N20" i="1815"/>
  <c r="H20" i="1815"/>
  <c r="G20" i="1815"/>
  <c r="F20" i="1815"/>
  <c r="P19" i="1815"/>
  <c r="O19" i="1815"/>
  <c r="N19" i="1815"/>
  <c r="H19" i="1815"/>
  <c r="G19" i="1815"/>
  <c r="F19" i="1815"/>
  <c r="P18" i="1815"/>
  <c r="O18" i="1815"/>
  <c r="N18" i="1815"/>
  <c r="H18" i="1815"/>
  <c r="G18" i="1815"/>
  <c r="F18" i="1815"/>
  <c r="P17" i="1815"/>
  <c r="O17" i="1815"/>
  <c r="N17" i="1815"/>
  <c r="H17" i="1815"/>
  <c r="G17" i="1815"/>
  <c r="F17" i="1815"/>
  <c r="F44" i="1814"/>
  <c r="F43" i="1814"/>
  <c r="O30" i="1814"/>
  <c r="O29" i="1814"/>
  <c r="L23" i="1814"/>
  <c r="H44" i="1814" s="1"/>
  <c r="D23" i="1814"/>
  <c r="H43" i="1814" s="1"/>
  <c r="P22" i="1814"/>
  <c r="O22" i="1814"/>
  <c r="N22" i="1814"/>
  <c r="H22" i="1814"/>
  <c r="G22" i="1814"/>
  <c r="F22" i="1814"/>
  <c r="P21" i="1814"/>
  <c r="O21" i="1814"/>
  <c r="N21" i="1814"/>
  <c r="H21" i="1814"/>
  <c r="G21" i="1814"/>
  <c r="F21" i="1814"/>
  <c r="P20" i="1814"/>
  <c r="O20" i="1814"/>
  <c r="N20" i="1814"/>
  <c r="H20" i="1814"/>
  <c r="G20" i="1814"/>
  <c r="F20" i="1814"/>
  <c r="P19" i="1814"/>
  <c r="O19" i="1814"/>
  <c r="N19" i="1814"/>
  <c r="H19" i="1814"/>
  <c r="G19" i="1814"/>
  <c r="F19" i="1814"/>
  <c r="H18" i="1814"/>
  <c r="G18" i="1814"/>
  <c r="F18" i="1814"/>
  <c r="F44" i="1813"/>
  <c r="F43" i="1813"/>
  <c r="O30" i="1813"/>
  <c r="O29" i="1813"/>
  <c r="L23" i="1813"/>
  <c r="H44" i="1813" s="1"/>
  <c r="D23" i="1813"/>
  <c r="H43" i="1813" s="1"/>
  <c r="P22" i="1813"/>
  <c r="O22" i="1813"/>
  <c r="N22" i="1813"/>
  <c r="H22" i="1813"/>
  <c r="G22" i="1813"/>
  <c r="F22" i="1813"/>
  <c r="P21" i="1813"/>
  <c r="O21" i="1813"/>
  <c r="N21" i="1813"/>
  <c r="H21" i="1813"/>
  <c r="G21" i="1813"/>
  <c r="F21" i="1813"/>
  <c r="P20" i="1813"/>
  <c r="O20" i="1813"/>
  <c r="N20" i="1813"/>
  <c r="H20" i="1813"/>
  <c r="G20" i="1813"/>
  <c r="F20" i="1813"/>
  <c r="N19" i="1813"/>
  <c r="O19" i="1813" s="1"/>
  <c r="P19" i="1813" s="1"/>
  <c r="H19" i="1813"/>
  <c r="G19" i="1813"/>
  <c r="F19" i="1813"/>
  <c r="H18" i="1813"/>
  <c r="G18" i="1813"/>
  <c r="F18" i="1813"/>
  <c r="F44" i="1812"/>
  <c r="F43" i="1812"/>
  <c r="O30" i="1812"/>
  <c r="O29" i="1812"/>
  <c r="L23" i="1812"/>
  <c r="H44" i="1812" s="1"/>
  <c r="D23" i="1812"/>
  <c r="H43" i="1812" s="1"/>
  <c r="P22" i="1812"/>
  <c r="O22" i="1812"/>
  <c r="N22" i="1812"/>
  <c r="H22" i="1812"/>
  <c r="G22" i="1812"/>
  <c r="F22" i="1812"/>
  <c r="P21" i="1812"/>
  <c r="O21" i="1812"/>
  <c r="N21" i="1812"/>
  <c r="H21" i="1812"/>
  <c r="G21" i="1812"/>
  <c r="F21" i="1812"/>
  <c r="P20" i="1812"/>
  <c r="O20" i="1812"/>
  <c r="N20" i="1812"/>
  <c r="H20" i="1812"/>
  <c r="G20" i="1812"/>
  <c r="F20" i="1812"/>
  <c r="P19" i="1812"/>
  <c r="O19" i="1812"/>
  <c r="N19" i="1812"/>
  <c r="H19" i="1812"/>
  <c r="G19" i="1812"/>
  <c r="F19" i="1812"/>
  <c r="P18" i="1812"/>
  <c r="O18" i="1812"/>
  <c r="N18" i="1812"/>
  <c r="H18" i="1812"/>
  <c r="G18" i="1812"/>
  <c r="F18" i="1812"/>
  <c r="P17" i="1812"/>
  <c r="O17" i="1812"/>
  <c r="N17" i="1812"/>
  <c r="H17" i="1812"/>
  <c r="G17" i="1812"/>
  <c r="F17" i="1812"/>
  <c r="P16" i="1812"/>
  <c r="O16" i="1812"/>
  <c r="N16" i="1812"/>
  <c r="H16" i="1812"/>
  <c r="G16" i="1812"/>
  <c r="F16" i="1812"/>
  <c r="F44" i="1811"/>
  <c r="F43" i="1811"/>
  <c r="O30" i="1811"/>
  <c r="O29" i="1811"/>
  <c r="L23" i="1811"/>
  <c r="H44" i="1811" s="1"/>
  <c r="D23" i="1811"/>
  <c r="H43" i="1811" s="1"/>
  <c r="P22" i="1811"/>
  <c r="O22" i="1811"/>
  <c r="N22" i="1811"/>
  <c r="H22" i="1811"/>
  <c r="G22" i="1811"/>
  <c r="F22" i="1811"/>
  <c r="P21" i="1811"/>
  <c r="O21" i="1811"/>
  <c r="N21" i="1811"/>
  <c r="H21" i="1811"/>
  <c r="G21" i="1811"/>
  <c r="F21" i="1811"/>
  <c r="P20" i="1811"/>
  <c r="O20" i="1811"/>
  <c r="N20" i="1811"/>
  <c r="H20" i="1811"/>
  <c r="G20" i="1811"/>
  <c r="F20" i="1811"/>
  <c r="P19" i="1811"/>
  <c r="O19" i="1811"/>
  <c r="N19" i="1811"/>
  <c r="H19" i="1811"/>
  <c r="G19" i="1811"/>
  <c r="F19" i="1811"/>
  <c r="P18" i="1811"/>
  <c r="O18" i="1811"/>
  <c r="N18" i="1811"/>
  <c r="H18" i="1811"/>
  <c r="G18" i="1811"/>
  <c r="F18" i="1811"/>
  <c r="P17" i="1811"/>
  <c r="O17" i="1811"/>
  <c r="N17" i="1811"/>
  <c r="H17" i="1811"/>
  <c r="G17" i="1811"/>
  <c r="F17" i="1811"/>
  <c r="H16" i="1811"/>
  <c r="G16" i="1811"/>
  <c r="F16" i="1811"/>
  <c r="F44" i="1810"/>
  <c r="F43" i="1810"/>
  <c r="O30" i="1810"/>
  <c r="O29" i="1810"/>
  <c r="L23" i="1810"/>
  <c r="H44" i="1810" s="1"/>
  <c r="D23" i="1810"/>
  <c r="H43" i="1810" s="1"/>
  <c r="P22" i="1810"/>
  <c r="O22" i="1810"/>
  <c r="N22" i="1810"/>
  <c r="H22" i="1810"/>
  <c r="G22" i="1810"/>
  <c r="F22" i="1810"/>
  <c r="P21" i="1810"/>
  <c r="O21" i="1810"/>
  <c r="N21" i="1810"/>
  <c r="H21" i="1810"/>
  <c r="G21" i="1810"/>
  <c r="F21" i="1810"/>
  <c r="P20" i="1810"/>
  <c r="O20" i="1810"/>
  <c r="N20" i="1810"/>
  <c r="H20" i="1810"/>
  <c r="G20" i="1810"/>
  <c r="F20" i="1810"/>
  <c r="P19" i="1810"/>
  <c r="O19" i="1810"/>
  <c r="N19" i="1810"/>
  <c r="H19" i="1810"/>
  <c r="G19" i="1810"/>
  <c r="F19" i="1810"/>
  <c r="P18" i="1810"/>
  <c r="O18" i="1810"/>
  <c r="N18" i="1810"/>
  <c r="H18" i="1810"/>
  <c r="G18" i="1810"/>
  <c r="F18" i="1810"/>
  <c r="P17" i="1810"/>
  <c r="O17" i="1810"/>
  <c r="N17" i="1810"/>
  <c r="H17" i="1810"/>
  <c r="G17" i="1810"/>
  <c r="F17" i="1810"/>
  <c r="H16" i="1810"/>
  <c r="G16" i="1810"/>
  <c r="F16" i="1810"/>
  <c r="F44" i="1809"/>
  <c r="F43" i="1809"/>
  <c r="O30" i="1809"/>
  <c r="O29" i="1809"/>
  <c r="L23" i="1809"/>
  <c r="H44" i="1809" s="1"/>
  <c r="D23" i="1809"/>
  <c r="H43" i="1809" s="1"/>
  <c r="H22" i="1809"/>
  <c r="G22" i="1809"/>
  <c r="F22" i="1809"/>
  <c r="H21" i="1809"/>
  <c r="G21" i="1809"/>
  <c r="F21" i="1809"/>
  <c r="H20" i="1809"/>
  <c r="G20" i="1809"/>
  <c r="F20" i="1809"/>
  <c r="H19" i="1809"/>
  <c r="G19" i="1809"/>
  <c r="F19" i="1809"/>
  <c r="F44" i="1808"/>
  <c r="F43" i="1808"/>
  <c r="O30" i="1808"/>
  <c r="O29" i="1808"/>
  <c r="L23" i="1808"/>
  <c r="H44" i="1808" s="1"/>
  <c r="D23" i="1808"/>
  <c r="H43" i="1808" s="1"/>
  <c r="H22" i="1808"/>
  <c r="G22" i="1808"/>
  <c r="F22" i="1808"/>
  <c r="H21" i="1808"/>
  <c r="G21" i="1808"/>
  <c r="F21" i="1808"/>
  <c r="H20" i="1808"/>
  <c r="G20" i="1808"/>
  <c r="F20" i="1808"/>
  <c r="H19" i="1808"/>
  <c r="G19" i="1808"/>
  <c r="F19" i="1808"/>
  <c r="F44" i="1807"/>
  <c r="F43" i="1807"/>
  <c r="O30" i="1807"/>
  <c r="O29" i="1807"/>
  <c r="L23" i="1807"/>
  <c r="H44" i="1807" s="1"/>
  <c r="D23" i="1807"/>
  <c r="H43" i="1807" s="1"/>
  <c r="P22" i="1807"/>
  <c r="O22" i="1807"/>
  <c r="N22" i="1807"/>
  <c r="H22" i="1807"/>
  <c r="G22" i="1807"/>
  <c r="F22" i="1807"/>
  <c r="P21" i="1807"/>
  <c r="O21" i="1807"/>
  <c r="N21" i="1807"/>
  <c r="H21" i="1807"/>
  <c r="G21" i="1807"/>
  <c r="F21" i="1807"/>
  <c r="P20" i="1807"/>
  <c r="O20" i="1807"/>
  <c r="N20" i="1807"/>
  <c r="H20" i="1807"/>
  <c r="G20" i="1807"/>
  <c r="F20" i="1807"/>
  <c r="P19" i="1807"/>
  <c r="O19" i="1807"/>
  <c r="N19" i="1807"/>
  <c r="H19" i="1807"/>
  <c r="G19" i="1807"/>
  <c r="F19" i="1807"/>
  <c r="P18" i="1807"/>
  <c r="O18" i="1807"/>
  <c r="N18" i="1807"/>
  <c r="H18" i="1807"/>
  <c r="G18" i="1807"/>
  <c r="F18" i="1807"/>
  <c r="P17" i="1807"/>
  <c r="O17" i="1807"/>
  <c r="N17" i="1807"/>
  <c r="H17" i="1807"/>
  <c r="G17" i="1807"/>
  <c r="F17" i="1807"/>
  <c r="H16" i="1807"/>
  <c r="H23" i="1807" s="1"/>
  <c r="G16" i="1807"/>
  <c r="F16" i="1807"/>
  <c r="F44" i="1804"/>
  <c r="F43" i="1804"/>
  <c r="O30" i="1804"/>
  <c r="O29" i="1804"/>
  <c r="L23" i="1804"/>
  <c r="H44" i="1804" s="1"/>
  <c r="D23" i="1804"/>
  <c r="H43" i="1804" s="1"/>
  <c r="P22" i="1804"/>
  <c r="O22" i="1804"/>
  <c r="N22" i="1804"/>
  <c r="H22" i="1804"/>
  <c r="G22" i="1804"/>
  <c r="F22" i="1804"/>
  <c r="P21" i="1804"/>
  <c r="O21" i="1804"/>
  <c r="N21" i="1804"/>
  <c r="H21" i="1804"/>
  <c r="G21" i="1804"/>
  <c r="F21" i="1804"/>
  <c r="P20" i="1804"/>
  <c r="O20" i="1804"/>
  <c r="N20" i="1804"/>
  <c r="H20" i="1804"/>
  <c r="G20" i="1804"/>
  <c r="F20" i="1804"/>
  <c r="P19" i="1804"/>
  <c r="O19" i="1804"/>
  <c r="N19" i="1804"/>
  <c r="H19" i="1804"/>
  <c r="G19" i="1804"/>
  <c r="F19" i="1804"/>
  <c r="P18" i="1804"/>
  <c r="O18" i="1804"/>
  <c r="N18" i="1804"/>
  <c r="H18" i="1804"/>
  <c r="G18" i="1804"/>
  <c r="F18" i="1804"/>
  <c r="P17" i="1804"/>
  <c r="O17" i="1804"/>
  <c r="N17" i="1804"/>
  <c r="H17" i="1804"/>
  <c r="G17" i="1804"/>
  <c r="F17" i="1804"/>
  <c r="H16" i="1804"/>
  <c r="H23" i="1804" s="1"/>
  <c r="G16" i="1804"/>
  <c r="F16" i="1804"/>
  <c r="F44" i="1803"/>
  <c r="F43" i="1803"/>
  <c r="O30" i="1803"/>
  <c r="O29" i="1803"/>
  <c r="L23" i="1803"/>
  <c r="H44" i="1803" s="1"/>
  <c r="D23" i="1803"/>
  <c r="H43" i="1803" s="1"/>
  <c r="P22" i="1803"/>
  <c r="O22" i="1803"/>
  <c r="N22" i="1803"/>
  <c r="H22" i="1803"/>
  <c r="G22" i="1803"/>
  <c r="F22" i="1803"/>
  <c r="P21" i="1803"/>
  <c r="O21" i="1803"/>
  <c r="N21" i="1803"/>
  <c r="H21" i="1803"/>
  <c r="G21" i="1803"/>
  <c r="F21" i="1803"/>
  <c r="P20" i="1803"/>
  <c r="O20" i="1803"/>
  <c r="N20" i="1803"/>
  <c r="H20" i="1803"/>
  <c r="G20" i="1803"/>
  <c r="F20" i="1803"/>
  <c r="P19" i="1803"/>
  <c r="O19" i="1803"/>
  <c r="N19" i="1803"/>
  <c r="H19" i="1803"/>
  <c r="G19" i="1803"/>
  <c r="F19" i="1803"/>
  <c r="H18" i="1803"/>
  <c r="G18" i="1803"/>
  <c r="F18" i="1803"/>
  <c r="H17" i="1803"/>
  <c r="G17" i="1803"/>
  <c r="F17" i="1803"/>
  <c r="F44" i="1802"/>
  <c r="F43" i="1802"/>
  <c r="O30" i="1802"/>
  <c r="O29" i="1802"/>
  <c r="L23" i="1802"/>
  <c r="H44" i="1802" s="1"/>
  <c r="D23" i="1802"/>
  <c r="H43" i="1802" s="1"/>
  <c r="P22" i="1802"/>
  <c r="O22" i="1802"/>
  <c r="N22" i="1802"/>
  <c r="H22" i="1802"/>
  <c r="G22" i="1802"/>
  <c r="F22" i="1802"/>
  <c r="P21" i="1802"/>
  <c r="O21" i="1802"/>
  <c r="N21" i="1802"/>
  <c r="H21" i="1802"/>
  <c r="G21" i="1802"/>
  <c r="F21" i="1802"/>
  <c r="P20" i="1802"/>
  <c r="O20" i="1802"/>
  <c r="N20" i="1802"/>
  <c r="H20" i="1802"/>
  <c r="G20" i="1802"/>
  <c r="F20" i="1802"/>
  <c r="P19" i="1802"/>
  <c r="O19" i="1802"/>
  <c r="N19" i="1802"/>
  <c r="H19" i="1802"/>
  <c r="G19" i="1802"/>
  <c r="F19" i="1802"/>
  <c r="H18" i="1802"/>
  <c r="G18" i="1802"/>
  <c r="F18" i="1802"/>
  <c r="H17" i="1802"/>
  <c r="G17" i="1802"/>
  <c r="F17" i="1802"/>
  <c r="F44" i="1801"/>
  <c r="F43" i="1801"/>
  <c r="O30" i="1801"/>
  <c r="O29" i="1801"/>
  <c r="L23" i="1801"/>
  <c r="H44" i="1801" s="1"/>
  <c r="D23" i="1801"/>
  <c r="H43" i="1801" s="1"/>
  <c r="P22" i="1801"/>
  <c r="O22" i="1801"/>
  <c r="N22" i="1801"/>
  <c r="H22" i="1801"/>
  <c r="G22" i="1801"/>
  <c r="F22" i="1801"/>
  <c r="P21" i="1801"/>
  <c r="O21" i="1801"/>
  <c r="N21" i="1801"/>
  <c r="H21" i="1801"/>
  <c r="G21" i="1801"/>
  <c r="F21" i="1801"/>
  <c r="P20" i="1801"/>
  <c r="O20" i="1801"/>
  <c r="N20" i="1801"/>
  <c r="H20" i="1801"/>
  <c r="G20" i="1801"/>
  <c r="F20" i="1801"/>
  <c r="P19" i="1801"/>
  <c r="O19" i="1801"/>
  <c r="N19" i="1801"/>
  <c r="H19" i="1801"/>
  <c r="G19" i="1801"/>
  <c r="F19" i="1801"/>
  <c r="P18" i="1801"/>
  <c r="O18" i="1801"/>
  <c r="N18" i="1801"/>
  <c r="H18" i="1801"/>
  <c r="G18" i="1801"/>
  <c r="F18" i="1801"/>
  <c r="H17" i="1801"/>
  <c r="G17" i="1801"/>
  <c r="F17" i="1801"/>
  <c r="F44" i="1800"/>
  <c r="F43" i="1800"/>
  <c r="O30" i="1800"/>
  <c r="O29" i="1800"/>
  <c r="L23" i="1800"/>
  <c r="H44" i="1800" s="1"/>
  <c r="D23" i="1800"/>
  <c r="H43" i="1800" s="1"/>
  <c r="P22" i="1800"/>
  <c r="O22" i="1800"/>
  <c r="N22" i="1800"/>
  <c r="H22" i="1800"/>
  <c r="G22" i="1800"/>
  <c r="F22" i="1800"/>
  <c r="P21" i="1800"/>
  <c r="O21" i="1800"/>
  <c r="N21" i="1800"/>
  <c r="H21" i="1800"/>
  <c r="G21" i="1800"/>
  <c r="F21" i="1800"/>
  <c r="P20" i="1800"/>
  <c r="O20" i="1800"/>
  <c r="N20" i="1800"/>
  <c r="H20" i="1800"/>
  <c r="G20" i="1800"/>
  <c r="F20" i="1800"/>
  <c r="P19" i="1800"/>
  <c r="O19" i="1800"/>
  <c r="N19" i="1800"/>
  <c r="H19" i="1800"/>
  <c r="G19" i="1800"/>
  <c r="F19" i="1800"/>
  <c r="P18" i="1800"/>
  <c r="O18" i="1800"/>
  <c r="N18" i="1800"/>
  <c r="H18" i="1800"/>
  <c r="G18" i="1800"/>
  <c r="F18" i="1800"/>
  <c r="P17" i="1800"/>
  <c r="O17" i="1800"/>
  <c r="N17" i="1800"/>
  <c r="H17" i="1800"/>
  <c r="G17" i="1800"/>
  <c r="F17" i="1800"/>
  <c r="F44" i="1799"/>
  <c r="F43" i="1799"/>
  <c r="O30" i="1799"/>
  <c r="O29" i="1799"/>
  <c r="L23" i="1799"/>
  <c r="H44" i="1799" s="1"/>
  <c r="D23" i="1799"/>
  <c r="H43" i="1799" s="1"/>
  <c r="P22" i="1799"/>
  <c r="O22" i="1799"/>
  <c r="N22" i="1799"/>
  <c r="H22" i="1799"/>
  <c r="G22" i="1799"/>
  <c r="F22" i="1799"/>
  <c r="P21" i="1799"/>
  <c r="O21" i="1799"/>
  <c r="N21" i="1799"/>
  <c r="H21" i="1799"/>
  <c r="G21" i="1799"/>
  <c r="F21" i="1799"/>
  <c r="P20" i="1799"/>
  <c r="O20" i="1799"/>
  <c r="N20" i="1799"/>
  <c r="H20" i="1799"/>
  <c r="G20" i="1799"/>
  <c r="F20" i="1799"/>
  <c r="P19" i="1799"/>
  <c r="O19" i="1799"/>
  <c r="N19" i="1799"/>
  <c r="H19" i="1799"/>
  <c r="G19" i="1799"/>
  <c r="F19" i="1799"/>
  <c r="P18" i="1799"/>
  <c r="O18" i="1799"/>
  <c r="N18" i="1799"/>
  <c r="H18" i="1799"/>
  <c r="G18" i="1799"/>
  <c r="F18" i="1799"/>
  <c r="H17" i="1799"/>
  <c r="G17" i="1799"/>
  <c r="F17" i="1799"/>
  <c r="F44" i="1798"/>
  <c r="F43" i="1798"/>
  <c r="O30" i="1798"/>
  <c r="O29" i="1798"/>
  <c r="L23" i="1798"/>
  <c r="H44" i="1798" s="1"/>
  <c r="D23" i="1798"/>
  <c r="H43" i="1798" s="1"/>
  <c r="P22" i="1798"/>
  <c r="O22" i="1798"/>
  <c r="N22" i="1798"/>
  <c r="H22" i="1798"/>
  <c r="G22" i="1798"/>
  <c r="F22" i="1798"/>
  <c r="P21" i="1798"/>
  <c r="O21" i="1798"/>
  <c r="N21" i="1798"/>
  <c r="H21" i="1798"/>
  <c r="G21" i="1798"/>
  <c r="F21" i="1798"/>
  <c r="P20" i="1798"/>
  <c r="O20" i="1798"/>
  <c r="N20" i="1798"/>
  <c r="H20" i="1798"/>
  <c r="G20" i="1798"/>
  <c r="F20" i="1798"/>
  <c r="P19" i="1798"/>
  <c r="O19" i="1798"/>
  <c r="N19" i="1798"/>
  <c r="H19" i="1798"/>
  <c r="G19" i="1798"/>
  <c r="F19" i="1798"/>
  <c r="P18" i="1798"/>
  <c r="O18" i="1798"/>
  <c r="N18" i="1798"/>
  <c r="H18" i="1798"/>
  <c r="G18" i="1798"/>
  <c r="F18" i="1798"/>
  <c r="H17" i="1798"/>
  <c r="G17" i="1798"/>
  <c r="F17" i="1798"/>
  <c r="H16" i="1798"/>
  <c r="H23" i="1798" s="1"/>
  <c r="G16" i="1798"/>
  <c r="F16" i="1798"/>
  <c r="F44" i="1797"/>
  <c r="F43" i="1797"/>
  <c r="O30" i="1797"/>
  <c r="O29" i="1797"/>
  <c r="L23" i="1797"/>
  <c r="H44" i="1797" s="1"/>
  <c r="D23" i="1797"/>
  <c r="H43" i="1797" s="1"/>
  <c r="P22" i="1797"/>
  <c r="O22" i="1797"/>
  <c r="N22" i="1797"/>
  <c r="H22" i="1797"/>
  <c r="G22" i="1797"/>
  <c r="F22" i="1797"/>
  <c r="P21" i="1797"/>
  <c r="O21" i="1797"/>
  <c r="N21" i="1797"/>
  <c r="H21" i="1797"/>
  <c r="G21" i="1797"/>
  <c r="F21" i="1797"/>
  <c r="P20" i="1797"/>
  <c r="O20" i="1797"/>
  <c r="N20" i="1797"/>
  <c r="H20" i="1797"/>
  <c r="G20" i="1797"/>
  <c r="F20" i="1797"/>
  <c r="P19" i="1797"/>
  <c r="O19" i="1797"/>
  <c r="N19" i="1797"/>
  <c r="H19" i="1797"/>
  <c r="G19" i="1797"/>
  <c r="F19" i="1797"/>
  <c r="N18" i="1797"/>
  <c r="O18" i="1797" s="1"/>
  <c r="P18" i="1797" s="1"/>
  <c r="H18" i="1797"/>
  <c r="G18" i="1797"/>
  <c r="F18" i="1797"/>
  <c r="H17" i="1797"/>
  <c r="G17" i="1797"/>
  <c r="F17" i="1797"/>
  <c r="H16" i="1797"/>
  <c r="H23" i="1797" s="1"/>
  <c r="G16" i="1797"/>
  <c r="F16" i="1797"/>
  <c r="F44" i="1796"/>
  <c r="F43" i="1796"/>
  <c r="O30" i="1796"/>
  <c r="O29" i="1796"/>
  <c r="L23" i="1796"/>
  <c r="H44" i="1796" s="1"/>
  <c r="D23" i="1796"/>
  <c r="H43" i="1796" s="1"/>
  <c r="P22" i="1796"/>
  <c r="O22" i="1796"/>
  <c r="N22" i="1796"/>
  <c r="H22" i="1796"/>
  <c r="G22" i="1796"/>
  <c r="F22" i="1796"/>
  <c r="P21" i="1796"/>
  <c r="O21" i="1796"/>
  <c r="N21" i="1796"/>
  <c r="H21" i="1796"/>
  <c r="G21" i="1796"/>
  <c r="F21" i="1796"/>
  <c r="P20" i="1796"/>
  <c r="O20" i="1796"/>
  <c r="N20" i="1796"/>
  <c r="H20" i="1796"/>
  <c r="G20" i="1796"/>
  <c r="F20" i="1796"/>
  <c r="P19" i="1796"/>
  <c r="O19" i="1796"/>
  <c r="N19" i="1796"/>
  <c r="H19" i="1796"/>
  <c r="G19" i="1796"/>
  <c r="F19" i="1796"/>
  <c r="P18" i="1796"/>
  <c r="O18" i="1796"/>
  <c r="N18" i="1796"/>
  <c r="H18" i="1796"/>
  <c r="G18" i="1796"/>
  <c r="F18" i="1796"/>
  <c r="P17" i="1796"/>
  <c r="O17" i="1796"/>
  <c r="N17" i="1796"/>
  <c r="H17" i="1796"/>
  <c r="G17" i="1796"/>
  <c r="F17" i="1796"/>
  <c r="P16" i="1796"/>
  <c r="O16" i="1796"/>
  <c r="N16" i="1796"/>
  <c r="H16" i="1796"/>
  <c r="H23" i="1796" s="1"/>
  <c r="G16" i="1796"/>
  <c r="F16" i="1796"/>
  <c r="F44" i="1795"/>
  <c r="F43" i="1795"/>
  <c r="O30" i="1795"/>
  <c r="O29" i="1795"/>
  <c r="L23" i="1795"/>
  <c r="H44" i="1795" s="1"/>
  <c r="D23" i="1795"/>
  <c r="H43" i="1795" s="1"/>
  <c r="P22" i="1795"/>
  <c r="O22" i="1795"/>
  <c r="N22" i="1795"/>
  <c r="H22" i="1795"/>
  <c r="G22" i="1795"/>
  <c r="F22" i="1795"/>
  <c r="P21" i="1795"/>
  <c r="O21" i="1795"/>
  <c r="N21" i="1795"/>
  <c r="H21" i="1795"/>
  <c r="G21" i="1795"/>
  <c r="F21" i="1795"/>
  <c r="P20" i="1795"/>
  <c r="O20" i="1795"/>
  <c r="N20" i="1795"/>
  <c r="H20" i="1795"/>
  <c r="G20" i="1795"/>
  <c r="F20" i="1795"/>
  <c r="P19" i="1795"/>
  <c r="O19" i="1795"/>
  <c r="N19" i="1795"/>
  <c r="H19" i="1795"/>
  <c r="G19" i="1795"/>
  <c r="F19" i="1795"/>
  <c r="P18" i="1795"/>
  <c r="O18" i="1795"/>
  <c r="N18" i="1795"/>
  <c r="H18" i="1795"/>
  <c r="G18" i="1795"/>
  <c r="F18" i="1795"/>
  <c r="P17" i="1795"/>
  <c r="O17" i="1795"/>
  <c r="N17" i="1795"/>
  <c r="H17" i="1795"/>
  <c r="G17" i="1795"/>
  <c r="F17" i="1795"/>
  <c r="F44" i="1794"/>
  <c r="F43" i="1794"/>
  <c r="O30" i="1794"/>
  <c r="O29" i="1794"/>
  <c r="L23" i="1794"/>
  <c r="H44" i="1794" s="1"/>
  <c r="D23" i="1794"/>
  <c r="H43" i="1794" s="1"/>
  <c r="P22" i="1794"/>
  <c r="O22" i="1794"/>
  <c r="N22" i="1794"/>
  <c r="H22" i="1794"/>
  <c r="G22" i="1794"/>
  <c r="F22" i="1794"/>
  <c r="P21" i="1794"/>
  <c r="O21" i="1794"/>
  <c r="N21" i="1794"/>
  <c r="H21" i="1794"/>
  <c r="G21" i="1794"/>
  <c r="F21" i="1794"/>
  <c r="P20" i="1794"/>
  <c r="O20" i="1794"/>
  <c r="N20" i="1794"/>
  <c r="H20" i="1794"/>
  <c r="G20" i="1794"/>
  <c r="F20" i="1794"/>
  <c r="P19" i="1794"/>
  <c r="O19" i="1794"/>
  <c r="N19" i="1794"/>
  <c r="H19" i="1794"/>
  <c r="G19" i="1794"/>
  <c r="F19" i="1794"/>
  <c r="P18" i="1794"/>
  <c r="O18" i="1794"/>
  <c r="N18" i="1794"/>
  <c r="H18" i="1794"/>
  <c r="G18" i="1794"/>
  <c r="F18" i="1794"/>
  <c r="P17" i="1794"/>
  <c r="O17" i="1794"/>
  <c r="N17" i="1794"/>
  <c r="H17" i="1794"/>
  <c r="G17" i="1794"/>
  <c r="F17" i="1794"/>
  <c r="P16" i="1794"/>
  <c r="O16" i="1794"/>
  <c r="N16" i="1794"/>
  <c r="F44" i="1793"/>
  <c r="F43" i="1793"/>
  <c r="O30" i="1793"/>
  <c r="O29" i="1793"/>
  <c r="L23" i="1793"/>
  <c r="H44" i="1793" s="1"/>
  <c r="D23" i="1793"/>
  <c r="H43" i="1793" s="1"/>
  <c r="P22" i="1793"/>
  <c r="O22" i="1793"/>
  <c r="N22" i="1793"/>
  <c r="H22" i="1793"/>
  <c r="G22" i="1793"/>
  <c r="F22" i="1793"/>
  <c r="P21" i="1793"/>
  <c r="O21" i="1793"/>
  <c r="N21" i="1793"/>
  <c r="H21" i="1793"/>
  <c r="G21" i="1793"/>
  <c r="F21" i="1793"/>
  <c r="P20" i="1793"/>
  <c r="O20" i="1793"/>
  <c r="N20" i="1793"/>
  <c r="H20" i="1793"/>
  <c r="G20" i="1793"/>
  <c r="F20" i="1793"/>
  <c r="P19" i="1793"/>
  <c r="O19" i="1793"/>
  <c r="N19" i="1793"/>
  <c r="H19" i="1793"/>
  <c r="G19" i="1793"/>
  <c r="F19" i="1793"/>
  <c r="P18" i="1793"/>
  <c r="O18" i="1793"/>
  <c r="N18" i="1793"/>
  <c r="H18" i="1793"/>
  <c r="G18" i="1793"/>
  <c r="F18" i="1793"/>
  <c r="P17" i="1793"/>
  <c r="O17" i="1793"/>
  <c r="N17" i="1793"/>
  <c r="H17" i="1793"/>
  <c r="G17" i="1793"/>
  <c r="F17" i="1793"/>
  <c r="F44" i="1792"/>
  <c r="F43" i="1792"/>
  <c r="O30" i="1792"/>
  <c r="O29" i="1792"/>
  <c r="L23" i="1792"/>
  <c r="H44" i="1792" s="1"/>
  <c r="D23" i="1792"/>
  <c r="H43" i="1792" s="1"/>
  <c r="P22" i="1792"/>
  <c r="O22" i="1792"/>
  <c r="N22" i="1792"/>
  <c r="H22" i="1792"/>
  <c r="G22" i="1792"/>
  <c r="F22" i="1792"/>
  <c r="P21" i="1792"/>
  <c r="O21" i="1792"/>
  <c r="N21" i="1792"/>
  <c r="H21" i="1792"/>
  <c r="G21" i="1792"/>
  <c r="F21" i="1792"/>
  <c r="P20" i="1792"/>
  <c r="O20" i="1792"/>
  <c r="N20" i="1792"/>
  <c r="H20" i="1792"/>
  <c r="G20" i="1792"/>
  <c r="F20" i="1792"/>
  <c r="P19" i="1792"/>
  <c r="O19" i="1792"/>
  <c r="N19" i="1792"/>
  <c r="H19" i="1792"/>
  <c r="G19" i="1792"/>
  <c r="F19" i="1792"/>
  <c r="P18" i="1792"/>
  <c r="O18" i="1792"/>
  <c r="N18" i="1792"/>
  <c r="H18" i="1792"/>
  <c r="G18" i="1792"/>
  <c r="F18" i="1792"/>
  <c r="P17" i="1792"/>
  <c r="O17" i="1792"/>
  <c r="N17" i="1792"/>
  <c r="H17" i="1792"/>
  <c r="G17" i="1792"/>
  <c r="F17" i="1792"/>
  <c r="P16" i="1792"/>
  <c r="P23" i="1792" s="1"/>
  <c r="O16" i="1792"/>
  <c r="N16" i="1792"/>
  <c r="H16" i="1792"/>
  <c r="H23" i="1792" s="1"/>
  <c r="G16" i="1792"/>
  <c r="F16" i="1792"/>
  <c r="F44" i="1789"/>
  <c r="F43" i="1789"/>
  <c r="O30" i="1789"/>
  <c r="O29" i="1789"/>
  <c r="L23" i="1789"/>
  <c r="H44" i="1789" s="1"/>
  <c r="D23" i="1789"/>
  <c r="H43" i="1789" s="1"/>
  <c r="P22" i="1789"/>
  <c r="O22" i="1789"/>
  <c r="N22" i="1789"/>
  <c r="H22" i="1789"/>
  <c r="G22" i="1789"/>
  <c r="F22" i="1789"/>
  <c r="P21" i="1789"/>
  <c r="O21" i="1789"/>
  <c r="N21" i="1789"/>
  <c r="H21" i="1789"/>
  <c r="G21" i="1789"/>
  <c r="F21" i="1789"/>
  <c r="P20" i="1789"/>
  <c r="O20" i="1789"/>
  <c r="N20" i="1789"/>
  <c r="H20" i="1789"/>
  <c r="G20" i="1789"/>
  <c r="F20" i="1789"/>
  <c r="P19" i="1789"/>
  <c r="O19" i="1789"/>
  <c r="N19" i="1789"/>
  <c r="H19" i="1789"/>
  <c r="G19" i="1789"/>
  <c r="F19" i="1789"/>
  <c r="P18" i="1789"/>
  <c r="O18" i="1789"/>
  <c r="N18" i="1789"/>
  <c r="H18" i="1789"/>
  <c r="G18" i="1789"/>
  <c r="F18" i="1789"/>
  <c r="P17" i="1789"/>
  <c r="O17" i="1789"/>
  <c r="N17" i="1789"/>
  <c r="H17" i="1789"/>
  <c r="G17" i="1789"/>
  <c r="F17" i="1789"/>
  <c r="F44" i="1788"/>
  <c r="F43" i="1788"/>
  <c r="O30" i="1788"/>
  <c r="O29" i="1788"/>
  <c r="L23" i="1788"/>
  <c r="H44" i="1788" s="1"/>
  <c r="D23" i="1788"/>
  <c r="H43" i="1788" s="1"/>
  <c r="P22" i="1788"/>
  <c r="O22" i="1788"/>
  <c r="N22" i="1788"/>
  <c r="H22" i="1788"/>
  <c r="G22" i="1788"/>
  <c r="F22" i="1788"/>
  <c r="P21" i="1788"/>
  <c r="O21" i="1788"/>
  <c r="N21" i="1788"/>
  <c r="H21" i="1788"/>
  <c r="G21" i="1788"/>
  <c r="F21" i="1788"/>
  <c r="P20" i="1788"/>
  <c r="O20" i="1788"/>
  <c r="N20" i="1788"/>
  <c r="H20" i="1788"/>
  <c r="G20" i="1788"/>
  <c r="F20" i="1788"/>
  <c r="P19" i="1788"/>
  <c r="O19" i="1788"/>
  <c r="N19" i="1788"/>
  <c r="H19" i="1788"/>
  <c r="G19" i="1788"/>
  <c r="F19" i="1788"/>
  <c r="P18" i="1788"/>
  <c r="O18" i="1788"/>
  <c r="N18" i="1788"/>
  <c r="H18" i="1788"/>
  <c r="G18" i="1788"/>
  <c r="F18" i="1788"/>
  <c r="P17" i="1788"/>
  <c r="O17" i="1788"/>
  <c r="N17" i="1788"/>
  <c r="H17" i="1788"/>
  <c r="G17" i="1788"/>
  <c r="F17" i="1788"/>
  <c r="P16" i="1788"/>
  <c r="O16" i="1788"/>
  <c r="N16" i="1788"/>
  <c r="F44" i="1787"/>
  <c r="F43" i="1787"/>
  <c r="O30" i="1787"/>
  <c r="O29" i="1787"/>
  <c r="L23" i="1787"/>
  <c r="H44" i="1787" s="1"/>
  <c r="D23" i="1787"/>
  <c r="H43" i="1787" s="1"/>
  <c r="P22" i="1787"/>
  <c r="O22" i="1787"/>
  <c r="N22" i="1787"/>
  <c r="H22" i="1787"/>
  <c r="G22" i="1787"/>
  <c r="F22" i="1787"/>
  <c r="P21" i="1787"/>
  <c r="O21" i="1787"/>
  <c r="N21" i="1787"/>
  <c r="H21" i="1787"/>
  <c r="G21" i="1787"/>
  <c r="F21" i="1787"/>
  <c r="P20" i="1787"/>
  <c r="O20" i="1787"/>
  <c r="N20" i="1787"/>
  <c r="H20" i="1787"/>
  <c r="G20" i="1787"/>
  <c r="F20" i="1787"/>
  <c r="P19" i="1787"/>
  <c r="O19" i="1787"/>
  <c r="N19" i="1787"/>
  <c r="H19" i="1787"/>
  <c r="G19" i="1787"/>
  <c r="F19" i="1787"/>
  <c r="P18" i="1787"/>
  <c r="O18" i="1787"/>
  <c r="N18" i="1787"/>
  <c r="H18" i="1787"/>
  <c r="G18" i="1787"/>
  <c r="F18" i="1787"/>
  <c r="P17" i="1787"/>
  <c r="O17" i="1787"/>
  <c r="N17" i="1787"/>
  <c r="H17" i="1787"/>
  <c r="G17" i="1787"/>
  <c r="F17" i="1787"/>
  <c r="F44" i="1786"/>
  <c r="F43" i="1786"/>
  <c r="O30" i="1786"/>
  <c r="O29" i="1786"/>
  <c r="L23" i="1786"/>
  <c r="H44" i="1786" s="1"/>
  <c r="D23" i="1786"/>
  <c r="H43" i="1786" s="1"/>
  <c r="P22" i="1786"/>
  <c r="O22" i="1786"/>
  <c r="N22" i="1786"/>
  <c r="H22" i="1786"/>
  <c r="G22" i="1786"/>
  <c r="F22" i="1786"/>
  <c r="P21" i="1786"/>
  <c r="O21" i="1786"/>
  <c r="N21" i="1786"/>
  <c r="H21" i="1786"/>
  <c r="G21" i="1786"/>
  <c r="F21" i="1786"/>
  <c r="P20" i="1786"/>
  <c r="O20" i="1786"/>
  <c r="N20" i="1786"/>
  <c r="H20" i="1786"/>
  <c r="G20" i="1786"/>
  <c r="F20" i="1786"/>
  <c r="P19" i="1786"/>
  <c r="O19" i="1786"/>
  <c r="N19" i="1786"/>
  <c r="H19" i="1786"/>
  <c r="G19" i="1786"/>
  <c r="F19" i="1786"/>
  <c r="P18" i="1786"/>
  <c r="O18" i="1786"/>
  <c r="N18" i="1786"/>
  <c r="H18" i="1786"/>
  <c r="G18" i="1786"/>
  <c r="F18" i="1786"/>
  <c r="H17" i="1786"/>
  <c r="G17" i="1786"/>
  <c r="F17" i="1786"/>
  <c r="F44" i="1785"/>
  <c r="F43" i="1785"/>
  <c r="O30" i="1785"/>
  <c r="O29" i="1785"/>
  <c r="L23" i="1785"/>
  <c r="H44" i="1785" s="1"/>
  <c r="D23" i="1785"/>
  <c r="H43" i="1785" s="1"/>
  <c r="P22" i="1785"/>
  <c r="O22" i="1785"/>
  <c r="N22" i="1785"/>
  <c r="H22" i="1785"/>
  <c r="G22" i="1785"/>
  <c r="F22" i="1785"/>
  <c r="P21" i="1785"/>
  <c r="O21" i="1785"/>
  <c r="N21" i="1785"/>
  <c r="H21" i="1785"/>
  <c r="G21" i="1785"/>
  <c r="F21" i="1785"/>
  <c r="P20" i="1785"/>
  <c r="O20" i="1785"/>
  <c r="N20" i="1785"/>
  <c r="H20" i="1785"/>
  <c r="G20" i="1785"/>
  <c r="F20" i="1785"/>
  <c r="P19" i="1785"/>
  <c r="O19" i="1785"/>
  <c r="N19" i="1785"/>
  <c r="H19" i="1785"/>
  <c r="G19" i="1785"/>
  <c r="F19" i="1785"/>
  <c r="P18" i="1785"/>
  <c r="O18" i="1785"/>
  <c r="N18" i="1785"/>
  <c r="H18" i="1785"/>
  <c r="G18" i="1785"/>
  <c r="F18" i="1785"/>
  <c r="H17" i="1785"/>
  <c r="G17" i="1785"/>
  <c r="F17" i="1785"/>
  <c r="H16" i="1785"/>
  <c r="H23" i="1785" s="1"/>
  <c r="G16" i="1785"/>
  <c r="F16" i="1785"/>
  <c r="F44" i="1784"/>
  <c r="F43" i="1784"/>
  <c r="O30" i="1784"/>
  <c r="O29" i="1784"/>
  <c r="L23" i="1784"/>
  <c r="H44" i="1784" s="1"/>
  <c r="D23" i="1784"/>
  <c r="H43" i="1784" s="1"/>
  <c r="P22" i="1784"/>
  <c r="O22" i="1784"/>
  <c r="N22" i="1784"/>
  <c r="H22" i="1784"/>
  <c r="G22" i="1784"/>
  <c r="F22" i="1784"/>
  <c r="P21" i="1784"/>
  <c r="O21" i="1784"/>
  <c r="N21" i="1784"/>
  <c r="H21" i="1784"/>
  <c r="G21" i="1784"/>
  <c r="F21" i="1784"/>
  <c r="P20" i="1784"/>
  <c r="O20" i="1784"/>
  <c r="N20" i="1784"/>
  <c r="H20" i="1784"/>
  <c r="G20" i="1784"/>
  <c r="F20" i="1784"/>
  <c r="H19" i="1784"/>
  <c r="G19" i="1784"/>
  <c r="F19" i="1784"/>
  <c r="H18" i="1784"/>
  <c r="G18" i="1784"/>
  <c r="F18" i="1784"/>
  <c r="H17" i="1784"/>
  <c r="G17" i="1784"/>
  <c r="F17" i="1784"/>
  <c r="F44" i="1783"/>
  <c r="F43" i="1783"/>
  <c r="O30" i="1783"/>
  <c r="O29" i="1783"/>
  <c r="L23" i="1783"/>
  <c r="H44" i="1783" s="1"/>
  <c r="D23" i="1783"/>
  <c r="H43" i="1783" s="1"/>
  <c r="P22" i="1783"/>
  <c r="O22" i="1783"/>
  <c r="N22" i="1783"/>
  <c r="H22" i="1783"/>
  <c r="G22" i="1783"/>
  <c r="F22" i="1783"/>
  <c r="P21" i="1783"/>
  <c r="O21" i="1783"/>
  <c r="N21" i="1783"/>
  <c r="H21" i="1783"/>
  <c r="G21" i="1783"/>
  <c r="F21" i="1783"/>
  <c r="P20" i="1783"/>
  <c r="O20" i="1783"/>
  <c r="N20" i="1783"/>
  <c r="H20" i="1783"/>
  <c r="G20" i="1783"/>
  <c r="F20" i="1783"/>
  <c r="H19" i="1783"/>
  <c r="G19" i="1783"/>
  <c r="F19" i="1783"/>
  <c r="H18" i="1783"/>
  <c r="G18" i="1783"/>
  <c r="F18" i="1783"/>
  <c r="H17" i="1783"/>
  <c r="G17" i="1783"/>
  <c r="F17" i="1783"/>
  <c r="F44" i="1782"/>
  <c r="F43" i="1782"/>
  <c r="O30" i="1782"/>
  <c r="O29" i="1782"/>
  <c r="L23" i="1782"/>
  <c r="H44" i="1782" s="1"/>
  <c r="D23" i="1782"/>
  <c r="H43" i="1782" s="1"/>
  <c r="P22" i="1782"/>
  <c r="O22" i="1782"/>
  <c r="N22" i="1782"/>
  <c r="H22" i="1782"/>
  <c r="G22" i="1782"/>
  <c r="F22" i="1782"/>
  <c r="P21" i="1782"/>
  <c r="O21" i="1782"/>
  <c r="N21" i="1782"/>
  <c r="H21" i="1782"/>
  <c r="G21" i="1782"/>
  <c r="F21" i="1782"/>
  <c r="P20" i="1782"/>
  <c r="O20" i="1782"/>
  <c r="N20" i="1782"/>
  <c r="H20" i="1782"/>
  <c r="G20" i="1782"/>
  <c r="F20" i="1782"/>
  <c r="P19" i="1782"/>
  <c r="O19" i="1782"/>
  <c r="N19" i="1782"/>
  <c r="H19" i="1782"/>
  <c r="G19" i="1782"/>
  <c r="F19" i="1782"/>
  <c r="P18" i="1782"/>
  <c r="O18" i="1782"/>
  <c r="N18" i="1782"/>
  <c r="H18" i="1782"/>
  <c r="G18" i="1782"/>
  <c r="F18" i="1782"/>
  <c r="P17" i="1782"/>
  <c r="O17" i="1782"/>
  <c r="N17" i="1782"/>
  <c r="H17" i="1782"/>
  <c r="G17" i="1782"/>
  <c r="F17" i="1782"/>
  <c r="P16" i="1782"/>
  <c r="P23" i="1782" s="1"/>
  <c r="O16" i="1782"/>
  <c r="N16" i="1782"/>
  <c r="F44" i="1781"/>
  <c r="F43" i="1781"/>
  <c r="O30" i="1781"/>
  <c r="O29" i="1781"/>
  <c r="L23" i="1781"/>
  <c r="H44" i="1781" s="1"/>
  <c r="D23" i="1781"/>
  <c r="H43" i="1781" s="1"/>
  <c r="P22" i="1781"/>
  <c r="O22" i="1781"/>
  <c r="N22" i="1781"/>
  <c r="H22" i="1781"/>
  <c r="G22" i="1781"/>
  <c r="F22" i="1781"/>
  <c r="P21" i="1781"/>
  <c r="O21" i="1781"/>
  <c r="N21" i="1781"/>
  <c r="H21" i="1781"/>
  <c r="G21" i="1781"/>
  <c r="F21" i="1781"/>
  <c r="P20" i="1781"/>
  <c r="O20" i="1781"/>
  <c r="N20" i="1781"/>
  <c r="H20" i="1781"/>
  <c r="G20" i="1781"/>
  <c r="F20" i="1781"/>
  <c r="P19" i="1781"/>
  <c r="O19" i="1781"/>
  <c r="N19" i="1781"/>
  <c r="H19" i="1781"/>
  <c r="G19" i="1781"/>
  <c r="F19" i="1781"/>
  <c r="P18" i="1781"/>
  <c r="O18" i="1781"/>
  <c r="N18" i="1781"/>
  <c r="H18" i="1781"/>
  <c r="G18" i="1781"/>
  <c r="F18" i="1781"/>
  <c r="P17" i="1781"/>
  <c r="O17" i="1781"/>
  <c r="N17" i="1781"/>
  <c r="H17" i="1781"/>
  <c r="G17" i="1781"/>
  <c r="F17" i="1781"/>
  <c r="P16" i="1781"/>
  <c r="P23" i="1781" s="1"/>
  <c r="O16" i="1781"/>
  <c r="N16" i="1781"/>
  <c r="F44" i="1780"/>
  <c r="F43" i="1780"/>
  <c r="O30" i="1780"/>
  <c r="O29" i="1780"/>
  <c r="L23" i="1780"/>
  <c r="H44" i="1780" s="1"/>
  <c r="D23" i="1780"/>
  <c r="H43" i="1780" s="1"/>
  <c r="P22" i="1780"/>
  <c r="O22" i="1780"/>
  <c r="N22" i="1780"/>
  <c r="H22" i="1780"/>
  <c r="G22" i="1780"/>
  <c r="F22" i="1780"/>
  <c r="P21" i="1780"/>
  <c r="O21" i="1780"/>
  <c r="N21" i="1780"/>
  <c r="H21" i="1780"/>
  <c r="G21" i="1780"/>
  <c r="F21" i="1780"/>
  <c r="P20" i="1780"/>
  <c r="O20" i="1780"/>
  <c r="N20" i="1780"/>
  <c r="H20" i="1780"/>
  <c r="G20" i="1780"/>
  <c r="F20" i="1780"/>
  <c r="P19" i="1780"/>
  <c r="O19" i="1780"/>
  <c r="N19" i="1780"/>
  <c r="H19" i="1780"/>
  <c r="G19" i="1780"/>
  <c r="F19" i="1780"/>
  <c r="P18" i="1780"/>
  <c r="O18" i="1780"/>
  <c r="N18" i="1780"/>
  <c r="H18" i="1780"/>
  <c r="G18" i="1780"/>
  <c r="F18" i="1780"/>
  <c r="P17" i="1780"/>
  <c r="O17" i="1780"/>
  <c r="N17" i="1780"/>
  <c r="H17" i="1780"/>
  <c r="G17" i="1780"/>
  <c r="F17" i="1780"/>
  <c r="P16" i="1780"/>
  <c r="P23" i="1780" s="1"/>
  <c r="O16" i="1780"/>
  <c r="N16" i="1780"/>
  <c r="F44" i="1779"/>
  <c r="F43" i="1779"/>
  <c r="O30" i="1779"/>
  <c r="O29" i="1779"/>
  <c r="L23" i="1779"/>
  <c r="H44" i="1779" s="1"/>
  <c r="D23" i="1779"/>
  <c r="H43" i="1779" s="1"/>
  <c r="P22" i="1779"/>
  <c r="O22" i="1779"/>
  <c r="N22" i="1779"/>
  <c r="H22" i="1779"/>
  <c r="G22" i="1779"/>
  <c r="F22" i="1779"/>
  <c r="P21" i="1779"/>
  <c r="O21" i="1779"/>
  <c r="N21" i="1779"/>
  <c r="H21" i="1779"/>
  <c r="G21" i="1779"/>
  <c r="F21" i="1779"/>
  <c r="P20" i="1779"/>
  <c r="O20" i="1779"/>
  <c r="N20" i="1779"/>
  <c r="H20" i="1779"/>
  <c r="G20" i="1779"/>
  <c r="F20" i="1779"/>
  <c r="P19" i="1779"/>
  <c r="O19" i="1779"/>
  <c r="N19" i="1779"/>
  <c r="H19" i="1779"/>
  <c r="G19" i="1779"/>
  <c r="F19" i="1779"/>
  <c r="P18" i="1779"/>
  <c r="O18" i="1779"/>
  <c r="N18" i="1779"/>
  <c r="H18" i="1779"/>
  <c r="G18" i="1779"/>
  <c r="F18" i="1779"/>
  <c r="P17" i="1779"/>
  <c r="O17" i="1779"/>
  <c r="N17" i="1779"/>
  <c r="H17" i="1779"/>
  <c r="G17" i="1779"/>
  <c r="F17" i="1779"/>
  <c r="P16" i="1779"/>
  <c r="P23" i="1779" s="1"/>
  <c r="O16" i="1779"/>
  <c r="N16" i="1779"/>
  <c r="F44" i="1775"/>
  <c r="F43" i="1775"/>
  <c r="O30" i="1775"/>
  <c r="O29" i="1775"/>
  <c r="L23" i="1775"/>
  <c r="H44" i="1775" s="1"/>
  <c r="D23" i="1775"/>
  <c r="H43" i="1775" s="1"/>
  <c r="P22" i="1775"/>
  <c r="O22" i="1775"/>
  <c r="N22" i="1775"/>
  <c r="H22" i="1775"/>
  <c r="G22" i="1775"/>
  <c r="F22" i="1775"/>
  <c r="P21" i="1775"/>
  <c r="O21" i="1775"/>
  <c r="N21" i="1775"/>
  <c r="H21" i="1775"/>
  <c r="G21" i="1775"/>
  <c r="F21" i="1775"/>
  <c r="P20" i="1775"/>
  <c r="O20" i="1775"/>
  <c r="N20" i="1775"/>
  <c r="H20" i="1775"/>
  <c r="G20" i="1775"/>
  <c r="F20" i="1775"/>
  <c r="P19" i="1775"/>
  <c r="O19" i="1775"/>
  <c r="N19" i="1775"/>
  <c r="H19" i="1775"/>
  <c r="G19" i="1775"/>
  <c r="F19" i="1775"/>
  <c r="P18" i="1775"/>
  <c r="O18" i="1775"/>
  <c r="N18" i="1775"/>
  <c r="H18" i="1775"/>
  <c r="G18" i="1775"/>
  <c r="F18" i="1775"/>
  <c r="P17" i="1775"/>
  <c r="O17" i="1775"/>
  <c r="N17" i="1775"/>
  <c r="H17" i="1775"/>
  <c r="G17" i="1775"/>
  <c r="F17" i="1775"/>
  <c r="H16" i="1775"/>
  <c r="G16" i="1775"/>
  <c r="F16" i="1775"/>
  <c r="F44" i="1774"/>
  <c r="F43" i="1774"/>
  <c r="O30" i="1774"/>
  <c r="O29" i="1774"/>
  <c r="L23" i="1774"/>
  <c r="H44" i="1774" s="1"/>
  <c r="D23" i="1774"/>
  <c r="H43" i="1774" s="1"/>
  <c r="P22" i="1774"/>
  <c r="O22" i="1774"/>
  <c r="N22" i="1774"/>
  <c r="H22" i="1774"/>
  <c r="G22" i="1774"/>
  <c r="F22" i="1774"/>
  <c r="P21" i="1774"/>
  <c r="O21" i="1774"/>
  <c r="N21" i="1774"/>
  <c r="H21" i="1774"/>
  <c r="G21" i="1774"/>
  <c r="F21" i="1774"/>
  <c r="P20" i="1774"/>
  <c r="O20" i="1774"/>
  <c r="N20" i="1774"/>
  <c r="H20" i="1774"/>
  <c r="G20" i="1774"/>
  <c r="F20" i="1774"/>
  <c r="P19" i="1774"/>
  <c r="O19" i="1774"/>
  <c r="N19" i="1774"/>
  <c r="H19" i="1774"/>
  <c r="G19" i="1774"/>
  <c r="F19" i="1774"/>
  <c r="P18" i="1774"/>
  <c r="O18" i="1774"/>
  <c r="N18" i="1774"/>
  <c r="H18" i="1774"/>
  <c r="G18" i="1774"/>
  <c r="F18" i="1774"/>
  <c r="P17" i="1774"/>
  <c r="O17" i="1774"/>
  <c r="N17" i="1774"/>
  <c r="H17" i="1774"/>
  <c r="G17" i="1774"/>
  <c r="F17" i="1774"/>
  <c r="F44" i="1773"/>
  <c r="F43" i="1773"/>
  <c r="O30" i="1773"/>
  <c r="O29" i="1773"/>
  <c r="L23" i="1773"/>
  <c r="H44" i="1773" s="1"/>
  <c r="D23" i="1773"/>
  <c r="H43" i="1773" s="1"/>
  <c r="P22" i="1773"/>
  <c r="O22" i="1773"/>
  <c r="N22" i="1773"/>
  <c r="H22" i="1773"/>
  <c r="G22" i="1773"/>
  <c r="F22" i="1773"/>
  <c r="P21" i="1773"/>
  <c r="O21" i="1773"/>
  <c r="N21" i="1773"/>
  <c r="H21" i="1773"/>
  <c r="G21" i="1773"/>
  <c r="F21" i="1773"/>
  <c r="P20" i="1773"/>
  <c r="O20" i="1773"/>
  <c r="N20" i="1773"/>
  <c r="H20" i="1773"/>
  <c r="G20" i="1773"/>
  <c r="F20" i="1773"/>
  <c r="P19" i="1773"/>
  <c r="O19" i="1773"/>
  <c r="N19" i="1773"/>
  <c r="H19" i="1773"/>
  <c r="G19" i="1773"/>
  <c r="F19" i="1773"/>
  <c r="P18" i="1773"/>
  <c r="O18" i="1773"/>
  <c r="N18" i="1773"/>
  <c r="H18" i="1773"/>
  <c r="G18" i="1773"/>
  <c r="F18" i="1773"/>
  <c r="P17" i="1773"/>
  <c r="O17" i="1773"/>
  <c r="N17" i="1773"/>
  <c r="H17" i="1773"/>
  <c r="G17" i="1773"/>
  <c r="F17" i="1773"/>
  <c r="F44" i="1772"/>
  <c r="F43" i="1772"/>
  <c r="O30" i="1772"/>
  <c r="O29" i="1772"/>
  <c r="L23" i="1772"/>
  <c r="H44" i="1772" s="1"/>
  <c r="D23" i="1772"/>
  <c r="H43" i="1772" s="1"/>
  <c r="P22" i="1772"/>
  <c r="O22" i="1772"/>
  <c r="N22" i="1772"/>
  <c r="H22" i="1772"/>
  <c r="G22" i="1772"/>
  <c r="F22" i="1772"/>
  <c r="P21" i="1772"/>
  <c r="O21" i="1772"/>
  <c r="N21" i="1772"/>
  <c r="H21" i="1772"/>
  <c r="G21" i="1772"/>
  <c r="F21" i="1772"/>
  <c r="P20" i="1772"/>
  <c r="O20" i="1772"/>
  <c r="N20" i="1772"/>
  <c r="H20" i="1772"/>
  <c r="G20" i="1772"/>
  <c r="F20" i="1772"/>
  <c r="P19" i="1772"/>
  <c r="O19" i="1772"/>
  <c r="N19" i="1772"/>
  <c r="H19" i="1772"/>
  <c r="G19" i="1772"/>
  <c r="F19" i="1772"/>
  <c r="P18" i="1772"/>
  <c r="O18" i="1772"/>
  <c r="N18" i="1772"/>
  <c r="H18" i="1772"/>
  <c r="G18" i="1772"/>
  <c r="F18" i="1772"/>
  <c r="P17" i="1772"/>
  <c r="O17" i="1772"/>
  <c r="N17" i="1772"/>
  <c r="H17" i="1772"/>
  <c r="G17" i="1772"/>
  <c r="F17" i="1772"/>
  <c r="P16" i="1772"/>
  <c r="P23" i="1772" s="1"/>
  <c r="O16" i="1772"/>
  <c r="N16" i="1772"/>
  <c r="H16" i="1772"/>
  <c r="H23" i="1772" s="1"/>
  <c r="G16" i="1772"/>
  <c r="F16" i="1772"/>
  <c r="F44" i="1771"/>
  <c r="F43" i="1771"/>
  <c r="O30" i="1771"/>
  <c r="O29" i="1771"/>
  <c r="L23" i="1771"/>
  <c r="H44" i="1771" s="1"/>
  <c r="D23" i="1771"/>
  <c r="H43" i="1771" s="1"/>
  <c r="P22" i="1771"/>
  <c r="O22" i="1771"/>
  <c r="N22" i="1771"/>
  <c r="H22" i="1771"/>
  <c r="G22" i="1771"/>
  <c r="F22" i="1771"/>
  <c r="P21" i="1771"/>
  <c r="O21" i="1771"/>
  <c r="N21" i="1771"/>
  <c r="H21" i="1771"/>
  <c r="G21" i="1771"/>
  <c r="F21" i="1771"/>
  <c r="P20" i="1771"/>
  <c r="O20" i="1771"/>
  <c r="N20" i="1771"/>
  <c r="H20" i="1771"/>
  <c r="G20" i="1771"/>
  <c r="F20" i="1771"/>
  <c r="P19" i="1771"/>
  <c r="O19" i="1771"/>
  <c r="N19" i="1771"/>
  <c r="H19" i="1771"/>
  <c r="G19" i="1771"/>
  <c r="F19" i="1771"/>
  <c r="P18" i="1771"/>
  <c r="O18" i="1771"/>
  <c r="N18" i="1771"/>
  <c r="H18" i="1771"/>
  <c r="G18" i="1771"/>
  <c r="F18" i="1771"/>
  <c r="P17" i="1771"/>
  <c r="O17" i="1771"/>
  <c r="N17" i="1771"/>
  <c r="H17" i="1771"/>
  <c r="G17" i="1771"/>
  <c r="F17" i="1771"/>
  <c r="N16" i="1771"/>
  <c r="O16" i="1771" s="1"/>
  <c r="P16" i="1771" s="1"/>
  <c r="H16" i="1771"/>
  <c r="H23" i="1771" s="1"/>
  <c r="G16" i="1771"/>
  <c r="F16" i="1771"/>
  <c r="F44" i="1770"/>
  <c r="F43" i="1770"/>
  <c r="O30" i="1770"/>
  <c r="O29" i="1770"/>
  <c r="L23" i="1770"/>
  <c r="H44" i="1770" s="1"/>
  <c r="D23" i="1770"/>
  <c r="H43" i="1770" s="1"/>
  <c r="P22" i="1770"/>
  <c r="O22" i="1770"/>
  <c r="N22" i="1770"/>
  <c r="H22" i="1770"/>
  <c r="G22" i="1770"/>
  <c r="F22" i="1770"/>
  <c r="P21" i="1770"/>
  <c r="O21" i="1770"/>
  <c r="N21" i="1770"/>
  <c r="H21" i="1770"/>
  <c r="G21" i="1770"/>
  <c r="F21" i="1770"/>
  <c r="P20" i="1770"/>
  <c r="O20" i="1770"/>
  <c r="N20" i="1770"/>
  <c r="H20" i="1770"/>
  <c r="G20" i="1770"/>
  <c r="F20" i="1770"/>
  <c r="P19" i="1770"/>
  <c r="O19" i="1770"/>
  <c r="N19" i="1770"/>
  <c r="H19" i="1770"/>
  <c r="G19" i="1770"/>
  <c r="F19" i="1770"/>
  <c r="P18" i="1770"/>
  <c r="O18" i="1770"/>
  <c r="N18" i="1770"/>
  <c r="H18" i="1770"/>
  <c r="G18" i="1770"/>
  <c r="F18" i="1770"/>
  <c r="P17" i="1770"/>
  <c r="O17" i="1770"/>
  <c r="N17" i="1770"/>
  <c r="H17" i="1770"/>
  <c r="G17" i="1770"/>
  <c r="F17" i="1770"/>
  <c r="P16" i="1770"/>
  <c r="O16" i="1770"/>
  <c r="N16" i="1770"/>
  <c r="H16" i="1770"/>
  <c r="H23" i="1770" s="1"/>
  <c r="G16" i="1770"/>
  <c r="F16" i="1770"/>
  <c r="F44" i="1769"/>
  <c r="F43" i="1769"/>
  <c r="O30" i="1769"/>
  <c r="O29" i="1769"/>
  <c r="L23" i="1769"/>
  <c r="H44" i="1769" s="1"/>
  <c r="D23" i="1769"/>
  <c r="H43" i="1769" s="1"/>
  <c r="P22" i="1769"/>
  <c r="O22" i="1769"/>
  <c r="N22" i="1769"/>
  <c r="H22" i="1769"/>
  <c r="G22" i="1769"/>
  <c r="F22" i="1769"/>
  <c r="P21" i="1769"/>
  <c r="O21" i="1769"/>
  <c r="N21" i="1769"/>
  <c r="H21" i="1769"/>
  <c r="G21" i="1769"/>
  <c r="F21" i="1769"/>
  <c r="P20" i="1769"/>
  <c r="O20" i="1769"/>
  <c r="N20" i="1769"/>
  <c r="H20" i="1769"/>
  <c r="G20" i="1769"/>
  <c r="F20" i="1769"/>
  <c r="P19" i="1769"/>
  <c r="O19" i="1769"/>
  <c r="N19" i="1769"/>
  <c r="H19" i="1769"/>
  <c r="G19" i="1769"/>
  <c r="F19" i="1769"/>
  <c r="P18" i="1769"/>
  <c r="O18" i="1769"/>
  <c r="N18" i="1769"/>
  <c r="P17" i="1769"/>
  <c r="O17" i="1769"/>
  <c r="N17" i="1769"/>
  <c r="F44" i="1768"/>
  <c r="F43" i="1768"/>
  <c r="O30" i="1768"/>
  <c r="O29" i="1768"/>
  <c r="L23" i="1768"/>
  <c r="H44" i="1768" s="1"/>
  <c r="D23" i="1768"/>
  <c r="H43" i="1768" s="1"/>
  <c r="P22" i="1768"/>
  <c r="O22" i="1768"/>
  <c r="N22" i="1768"/>
  <c r="H22" i="1768"/>
  <c r="G22" i="1768"/>
  <c r="F22" i="1768"/>
  <c r="P21" i="1768"/>
  <c r="O21" i="1768"/>
  <c r="N21" i="1768"/>
  <c r="H21" i="1768"/>
  <c r="G21" i="1768"/>
  <c r="F21" i="1768"/>
  <c r="P20" i="1768"/>
  <c r="O20" i="1768"/>
  <c r="N20" i="1768"/>
  <c r="H20" i="1768"/>
  <c r="G20" i="1768"/>
  <c r="F20" i="1768"/>
  <c r="P19" i="1768"/>
  <c r="O19" i="1768"/>
  <c r="N19" i="1768"/>
  <c r="H19" i="1768"/>
  <c r="G19" i="1768"/>
  <c r="F19" i="1768"/>
  <c r="P18" i="1768"/>
  <c r="O18" i="1768"/>
  <c r="N18" i="1768"/>
  <c r="P17" i="1768"/>
  <c r="O17" i="1768"/>
  <c r="N17" i="1768"/>
  <c r="O29" i="1767"/>
  <c r="O30" i="1767"/>
  <c r="F44" i="1767"/>
  <c r="F43" i="1767"/>
  <c r="L23" i="1767"/>
  <c r="H44" i="1767" s="1"/>
  <c r="D23" i="1767"/>
  <c r="H43" i="1767" s="1"/>
  <c r="P22" i="1767"/>
  <c r="O22" i="1767"/>
  <c r="N22" i="1767"/>
  <c r="H22" i="1767"/>
  <c r="G22" i="1767"/>
  <c r="F22" i="1767"/>
  <c r="P21" i="1767"/>
  <c r="O21" i="1767"/>
  <c r="N21" i="1767"/>
  <c r="H21" i="1767"/>
  <c r="G21" i="1767"/>
  <c r="F21" i="1767"/>
  <c r="P20" i="1767"/>
  <c r="O20" i="1767"/>
  <c r="N20" i="1767"/>
  <c r="H20" i="1767"/>
  <c r="G20" i="1767"/>
  <c r="F20" i="1767"/>
  <c r="P19" i="1767"/>
  <c r="O19" i="1767"/>
  <c r="N19" i="1767"/>
  <c r="H19" i="1767"/>
  <c r="G19" i="1767"/>
  <c r="F19" i="1767"/>
  <c r="P18" i="1767"/>
  <c r="O18" i="1767"/>
  <c r="N18" i="1767"/>
  <c r="H18" i="1767"/>
  <c r="G18" i="1767"/>
  <c r="F18" i="1767"/>
  <c r="P17" i="1767"/>
  <c r="O17" i="1767"/>
  <c r="N17" i="1767"/>
  <c r="F44" i="1766"/>
  <c r="F43" i="1766"/>
  <c r="O30" i="1766"/>
  <c r="O29" i="1766"/>
  <c r="L23" i="1766"/>
  <c r="H44" i="1766" s="1"/>
  <c r="D23" i="1766"/>
  <c r="H43" i="1766" s="1"/>
  <c r="P22" i="1766"/>
  <c r="O22" i="1766"/>
  <c r="N22" i="1766"/>
  <c r="H22" i="1766"/>
  <c r="G22" i="1766"/>
  <c r="F22" i="1766"/>
  <c r="P21" i="1766"/>
  <c r="O21" i="1766"/>
  <c r="N21" i="1766"/>
  <c r="H21" i="1766"/>
  <c r="G21" i="1766"/>
  <c r="F21" i="1766"/>
  <c r="P20" i="1766"/>
  <c r="O20" i="1766"/>
  <c r="N20" i="1766"/>
  <c r="H20" i="1766"/>
  <c r="G20" i="1766"/>
  <c r="F20" i="1766"/>
  <c r="P19" i="1766"/>
  <c r="O19" i="1766"/>
  <c r="N19" i="1766"/>
  <c r="H19" i="1766"/>
  <c r="G19" i="1766"/>
  <c r="F19" i="1766"/>
  <c r="P18" i="1766"/>
  <c r="O18" i="1766"/>
  <c r="N18" i="1766"/>
  <c r="H18" i="1766"/>
  <c r="G18" i="1766"/>
  <c r="F18" i="1766"/>
  <c r="P17" i="1766"/>
  <c r="O17" i="1766"/>
  <c r="N17" i="1766"/>
  <c r="H17" i="1766"/>
  <c r="G17" i="1766"/>
  <c r="F17" i="1766"/>
  <c r="P16" i="1766"/>
  <c r="O16" i="1766"/>
  <c r="N16" i="1766"/>
  <c r="H16" i="1766"/>
  <c r="H23" i="1766" s="1"/>
  <c r="G16" i="1766"/>
  <c r="F16" i="1766"/>
  <c r="H23" i="1851" l="1"/>
  <c r="H23" i="1848"/>
  <c r="H23" i="1844"/>
  <c r="H23" i="1843"/>
  <c r="H23" i="1847"/>
  <c r="H23" i="1841"/>
  <c r="H23" i="1842"/>
  <c r="H23" i="1850"/>
  <c r="N17" i="1851"/>
  <c r="O17" i="1851" s="1"/>
  <c r="P17" i="1851" s="1"/>
  <c r="F16" i="1849"/>
  <c r="G16" i="1849" s="1"/>
  <c r="H16" i="1849" s="1"/>
  <c r="H23" i="1849" s="1"/>
  <c r="N16" i="1849"/>
  <c r="O16" i="1849" s="1"/>
  <c r="P16" i="1849" s="1"/>
  <c r="P23" i="1849" s="1"/>
  <c r="N17" i="1848"/>
  <c r="O17" i="1848" s="1"/>
  <c r="P17" i="1848" s="1"/>
  <c r="N16" i="1848"/>
  <c r="O16" i="1848" s="1"/>
  <c r="P16" i="1848" s="1"/>
  <c r="N20" i="1847"/>
  <c r="O20" i="1847" s="1"/>
  <c r="P20" i="1847" s="1"/>
  <c r="N19" i="1847"/>
  <c r="O19" i="1847" s="1"/>
  <c r="P19" i="1847" s="1"/>
  <c r="N18" i="1847"/>
  <c r="O18" i="1847" s="1"/>
  <c r="P18" i="1847" s="1"/>
  <c r="F16" i="1846"/>
  <c r="G16" i="1846" s="1"/>
  <c r="H16" i="1846" s="1"/>
  <c r="H23" i="1846" s="1"/>
  <c r="N22" i="1846"/>
  <c r="O22" i="1846" s="1"/>
  <c r="P22" i="1846" s="1"/>
  <c r="N21" i="1846"/>
  <c r="O21" i="1846" s="1"/>
  <c r="P21" i="1846" s="1"/>
  <c r="F44" i="1845"/>
  <c r="O30" i="1845"/>
  <c r="N16" i="1844"/>
  <c r="O16" i="1844" s="1"/>
  <c r="P16" i="1844" s="1"/>
  <c r="P23" i="1844" s="1"/>
  <c r="N16" i="1841"/>
  <c r="O16" i="1841" s="1"/>
  <c r="P16" i="1841" s="1"/>
  <c r="P23" i="1841" s="1"/>
  <c r="H23" i="1819"/>
  <c r="H23" i="1835"/>
  <c r="H23" i="1836"/>
  <c r="H23" i="1833"/>
  <c r="P23" i="1825"/>
  <c r="F16" i="1840"/>
  <c r="G16" i="1840" s="1"/>
  <c r="H16" i="1840" s="1"/>
  <c r="H23" i="1840" s="1"/>
  <c r="N18" i="1839"/>
  <c r="O18" i="1839" s="1"/>
  <c r="P18" i="1839" s="1"/>
  <c r="N17" i="1839"/>
  <c r="O17" i="1839" s="1"/>
  <c r="P17" i="1839" s="1"/>
  <c r="N19" i="1837"/>
  <c r="O19" i="1837" s="1"/>
  <c r="P19" i="1837" s="1"/>
  <c r="N18" i="1837"/>
  <c r="O18" i="1837" s="1"/>
  <c r="P18" i="1837" s="1"/>
  <c r="N17" i="1837"/>
  <c r="O17" i="1837" s="1"/>
  <c r="P17" i="1837" s="1"/>
  <c r="N19" i="1835"/>
  <c r="O19" i="1835" s="1"/>
  <c r="P19" i="1835" s="1"/>
  <c r="N18" i="1835"/>
  <c r="O18" i="1835" s="1"/>
  <c r="P18" i="1835" s="1"/>
  <c r="N17" i="1835"/>
  <c r="O17" i="1835" s="1"/>
  <c r="P17" i="1835" s="1"/>
  <c r="N16" i="1835"/>
  <c r="O16" i="1835" s="1"/>
  <c r="P16" i="1835" s="1"/>
  <c r="F17" i="1834"/>
  <c r="G17" i="1834" s="1"/>
  <c r="H17" i="1834" s="1"/>
  <c r="F16" i="1834"/>
  <c r="G16" i="1834" s="1"/>
  <c r="H16" i="1834" s="1"/>
  <c r="N17" i="1834"/>
  <c r="O17" i="1834" s="1"/>
  <c r="P17" i="1834" s="1"/>
  <c r="N16" i="1834"/>
  <c r="O16" i="1834" s="1"/>
  <c r="P16" i="1834" s="1"/>
  <c r="F16" i="1832"/>
  <c r="G16" i="1832" s="1"/>
  <c r="H16" i="1832" s="1"/>
  <c r="H23" i="1832" s="1"/>
  <c r="N20" i="1832"/>
  <c r="O20" i="1832" s="1"/>
  <c r="P20" i="1832" s="1"/>
  <c r="N19" i="1832"/>
  <c r="O19" i="1832" s="1"/>
  <c r="P19" i="1832" s="1"/>
  <c r="N18" i="1832"/>
  <c r="O18" i="1832" s="1"/>
  <c r="P18" i="1832" s="1"/>
  <c r="N17" i="1832"/>
  <c r="O17" i="1832" s="1"/>
  <c r="P17" i="1832" s="1"/>
  <c r="N16" i="1832"/>
  <c r="O16" i="1832" s="1"/>
  <c r="P16" i="1832" s="1"/>
  <c r="F17" i="1830"/>
  <c r="G17" i="1830" s="1"/>
  <c r="H17" i="1830" s="1"/>
  <c r="F16" i="1830"/>
  <c r="G16" i="1830" s="1"/>
  <c r="H16" i="1830" s="1"/>
  <c r="N17" i="1830"/>
  <c r="O17" i="1830" s="1"/>
  <c r="P17" i="1830" s="1"/>
  <c r="N16" i="1830"/>
  <c r="O16" i="1830" s="1"/>
  <c r="P16" i="1830" s="1"/>
  <c r="F16" i="1825"/>
  <c r="G16" i="1825" s="1"/>
  <c r="H16" i="1825" s="1"/>
  <c r="H23" i="1825" s="1"/>
  <c r="N16" i="1823"/>
  <c r="O16" i="1823" s="1"/>
  <c r="P16" i="1823" s="1"/>
  <c r="P23" i="1823" s="1"/>
  <c r="H23" i="1812"/>
  <c r="H23" i="1816"/>
  <c r="H23" i="1822"/>
  <c r="H23" i="1817"/>
  <c r="H23" i="1821"/>
  <c r="H23" i="1810"/>
  <c r="H23" i="1820"/>
  <c r="H23" i="1811"/>
  <c r="P23" i="1817"/>
  <c r="P23" i="1819"/>
  <c r="P23" i="1796"/>
  <c r="P23" i="1812"/>
  <c r="N17" i="1821"/>
  <c r="O17" i="1821" s="1"/>
  <c r="P17" i="1821" s="1"/>
  <c r="N16" i="1821"/>
  <c r="O16" i="1821" s="1"/>
  <c r="P16" i="1821" s="1"/>
  <c r="N16" i="1816"/>
  <c r="O16" i="1816" s="1"/>
  <c r="P16" i="1816" s="1"/>
  <c r="P23" i="1816" s="1"/>
  <c r="F16" i="1815"/>
  <c r="G16" i="1815" s="1"/>
  <c r="H16" i="1815" s="1"/>
  <c r="H23" i="1815" s="1"/>
  <c r="F17" i="1814"/>
  <c r="G17" i="1814" s="1"/>
  <c r="H17" i="1814" s="1"/>
  <c r="N18" i="1814"/>
  <c r="O18" i="1814" s="1"/>
  <c r="P18" i="1814" s="1"/>
  <c r="N17" i="1814"/>
  <c r="O17" i="1814" s="1"/>
  <c r="P17" i="1814" s="1"/>
  <c r="N16" i="1811"/>
  <c r="O16" i="1811" s="1"/>
  <c r="P16" i="1811" s="1"/>
  <c r="P23" i="1811" s="1"/>
  <c r="F18" i="1809"/>
  <c r="G18" i="1809" s="1"/>
  <c r="H18" i="1809" s="1"/>
  <c r="F17" i="1809"/>
  <c r="G17" i="1809" s="1"/>
  <c r="H17" i="1809" s="1"/>
  <c r="F16" i="1809"/>
  <c r="G16" i="1809" s="1"/>
  <c r="H16" i="1809" s="1"/>
  <c r="H23" i="1809" s="1"/>
  <c r="N22" i="1809"/>
  <c r="O22" i="1809" s="1"/>
  <c r="P22" i="1809" s="1"/>
  <c r="N21" i="1809"/>
  <c r="O21" i="1809" s="1"/>
  <c r="P21" i="1809" s="1"/>
  <c r="N20" i="1809"/>
  <c r="O20" i="1809" s="1"/>
  <c r="P20" i="1809" s="1"/>
  <c r="N19" i="1809"/>
  <c r="O19" i="1809" s="1"/>
  <c r="P19" i="1809" s="1"/>
  <c r="N18" i="1809"/>
  <c r="O18" i="1809" s="1"/>
  <c r="P18" i="1809" s="1"/>
  <c r="N17" i="1809"/>
  <c r="O17" i="1809" s="1"/>
  <c r="P17" i="1809" s="1"/>
  <c r="N16" i="1809"/>
  <c r="O16" i="1809" s="1"/>
  <c r="P16" i="1809" s="1"/>
  <c r="N16" i="1807"/>
  <c r="O16" i="1807" s="1"/>
  <c r="P16" i="1807" s="1"/>
  <c r="P23" i="1807" s="1"/>
  <c r="F16" i="1803"/>
  <c r="G16" i="1803" s="1"/>
  <c r="H16" i="1803" s="1"/>
  <c r="H23" i="1803" s="1"/>
  <c r="N18" i="1803"/>
  <c r="O18" i="1803" s="1"/>
  <c r="P18" i="1803" s="1"/>
  <c r="N17" i="1803"/>
  <c r="O17" i="1803" s="1"/>
  <c r="P17" i="1803" s="1"/>
  <c r="N16" i="1803"/>
  <c r="O16" i="1803" s="1"/>
  <c r="P16" i="1803" s="1"/>
  <c r="P23" i="1803" s="1"/>
  <c r="F16" i="1801"/>
  <c r="G16" i="1801" s="1"/>
  <c r="H16" i="1801" s="1"/>
  <c r="H23" i="1801" s="1"/>
  <c r="F16" i="1800"/>
  <c r="G16" i="1800" s="1"/>
  <c r="H16" i="1800" s="1"/>
  <c r="H23" i="1800" s="1"/>
  <c r="N16" i="1800"/>
  <c r="O16" i="1800" s="1"/>
  <c r="P16" i="1800" s="1"/>
  <c r="P23" i="1800" s="1"/>
  <c r="N17" i="1798"/>
  <c r="O17" i="1798" s="1"/>
  <c r="P17" i="1798" s="1"/>
  <c r="N16" i="1798"/>
  <c r="O16" i="1798" s="1"/>
  <c r="P16" i="1798" s="1"/>
  <c r="F16" i="1795"/>
  <c r="G16" i="1795" s="1"/>
  <c r="H16" i="1795" s="1"/>
  <c r="H23" i="1795" s="1"/>
  <c r="N16" i="1795"/>
  <c r="O16" i="1795" s="1"/>
  <c r="P16" i="1795" s="1"/>
  <c r="P23" i="1795" s="1"/>
  <c r="H23" i="1775"/>
  <c r="P23" i="1788"/>
  <c r="P23" i="1770"/>
  <c r="P23" i="1771"/>
  <c r="P23" i="1794"/>
  <c r="F16" i="1794"/>
  <c r="G16" i="1794" s="1"/>
  <c r="H16" i="1794" s="1"/>
  <c r="H23" i="1794" s="1"/>
  <c r="F16" i="1788"/>
  <c r="G16" i="1788" s="1"/>
  <c r="H16" i="1788" s="1"/>
  <c r="H23" i="1788" s="1"/>
  <c r="N16" i="1787"/>
  <c r="O16" i="1787" s="1"/>
  <c r="P16" i="1787" s="1"/>
  <c r="P23" i="1787" s="1"/>
  <c r="N17" i="1786"/>
  <c r="O17" i="1786" s="1"/>
  <c r="P17" i="1786" s="1"/>
  <c r="F16" i="1784"/>
  <c r="G16" i="1784" s="1"/>
  <c r="H16" i="1784" s="1"/>
  <c r="H23" i="1784" s="1"/>
  <c r="N19" i="1784"/>
  <c r="O19" i="1784" s="1"/>
  <c r="P19" i="1784" s="1"/>
  <c r="N18" i="1784"/>
  <c r="O18" i="1784" s="1"/>
  <c r="P18" i="1784" s="1"/>
  <c r="N17" i="1784"/>
  <c r="O17" i="1784" s="1"/>
  <c r="P17" i="1784" s="1"/>
  <c r="N16" i="1784"/>
  <c r="O16" i="1784" s="1"/>
  <c r="P16" i="1784" s="1"/>
  <c r="F16" i="1780"/>
  <c r="G16" i="1780" s="1"/>
  <c r="H16" i="1780" s="1"/>
  <c r="H23" i="1780" s="1"/>
  <c r="F16" i="1774"/>
  <c r="G16" i="1774" s="1"/>
  <c r="H16" i="1774" s="1"/>
  <c r="H23" i="1774" s="1"/>
  <c r="N16" i="1774"/>
  <c r="O16" i="1774" s="1"/>
  <c r="P16" i="1774" s="1"/>
  <c r="P23" i="1774" s="1"/>
  <c r="F18" i="1769"/>
  <c r="G18" i="1769" s="1"/>
  <c r="H18" i="1769" s="1"/>
  <c r="F17" i="1769"/>
  <c r="G17" i="1769" s="1"/>
  <c r="H17" i="1769" s="1"/>
  <c r="F16" i="1769"/>
  <c r="G16" i="1769" s="1"/>
  <c r="H16" i="1769" s="1"/>
  <c r="H23" i="1769" s="1"/>
  <c r="N16" i="1769"/>
  <c r="O16" i="1769" s="1"/>
  <c r="P16" i="1769" s="1"/>
  <c r="P23" i="1769" s="1"/>
  <c r="P23" i="1766"/>
  <c r="P23" i="1848" l="1"/>
  <c r="H23" i="1830"/>
  <c r="H23" i="1834"/>
  <c r="P23" i="1834"/>
  <c r="P23" i="1830"/>
  <c r="P23" i="1832"/>
  <c r="P23" i="1835"/>
  <c r="P23" i="1821"/>
  <c r="P23" i="1809"/>
  <c r="P23" i="1798"/>
  <c r="P23" i="1784"/>
  <c r="F44" i="1765"/>
  <c r="F43" i="1765"/>
  <c r="O30" i="1765"/>
  <c r="O29" i="1765"/>
  <c r="L23" i="1765"/>
  <c r="H44" i="1765" s="1"/>
  <c r="D23" i="1765"/>
  <c r="H43" i="1765" s="1"/>
  <c r="P22" i="1765"/>
  <c r="O22" i="1765"/>
  <c r="N22" i="1765"/>
  <c r="H22" i="1765"/>
  <c r="G22" i="1765"/>
  <c r="F22" i="1765"/>
  <c r="P21" i="1765"/>
  <c r="O21" i="1765"/>
  <c r="N21" i="1765"/>
  <c r="H21" i="1765"/>
  <c r="G21" i="1765"/>
  <c r="F21" i="1765"/>
  <c r="P20" i="1765"/>
  <c r="O20" i="1765"/>
  <c r="N20" i="1765"/>
  <c r="H20" i="1765"/>
  <c r="G20" i="1765"/>
  <c r="F20" i="1765"/>
  <c r="P19" i="1765"/>
  <c r="O19" i="1765"/>
  <c r="N19" i="1765"/>
  <c r="H19" i="1765"/>
  <c r="G19" i="1765"/>
  <c r="F19" i="1765"/>
  <c r="P18" i="1765"/>
  <c r="O18" i="1765"/>
  <c r="N18" i="1765"/>
  <c r="H18" i="1765"/>
  <c r="G18" i="1765"/>
  <c r="F18" i="1765"/>
  <c r="P17" i="1765"/>
  <c r="O17" i="1765"/>
  <c r="N17" i="1765"/>
  <c r="H17" i="1765"/>
  <c r="G17" i="1765"/>
  <c r="F17" i="1765"/>
  <c r="F44" i="1763"/>
  <c r="F43" i="1763"/>
  <c r="O30" i="1763"/>
  <c r="O29" i="1763"/>
  <c r="L23" i="1763"/>
  <c r="H44" i="1763" s="1"/>
  <c r="D23" i="1763"/>
  <c r="H43" i="1763" s="1"/>
  <c r="P22" i="1763"/>
  <c r="O22" i="1763"/>
  <c r="N22" i="1763"/>
  <c r="H22" i="1763"/>
  <c r="G22" i="1763"/>
  <c r="F22" i="1763"/>
  <c r="P21" i="1763"/>
  <c r="O21" i="1763"/>
  <c r="N21" i="1763"/>
  <c r="H21" i="1763"/>
  <c r="G21" i="1763"/>
  <c r="F21" i="1763"/>
  <c r="P20" i="1763"/>
  <c r="O20" i="1763"/>
  <c r="N20" i="1763"/>
  <c r="H20" i="1763"/>
  <c r="G20" i="1763"/>
  <c r="F20" i="1763"/>
  <c r="P19" i="1763"/>
  <c r="O19" i="1763"/>
  <c r="N19" i="1763"/>
  <c r="H19" i="1763"/>
  <c r="G19" i="1763"/>
  <c r="F19" i="1763"/>
  <c r="P18" i="1763"/>
  <c r="O18" i="1763"/>
  <c r="N18" i="1763"/>
  <c r="H18" i="1763"/>
  <c r="G18" i="1763"/>
  <c r="F18" i="1763"/>
  <c r="P17" i="1763"/>
  <c r="O17" i="1763"/>
  <c r="N17" i="1763"/>
  <c r="H17" i="1763"/>
  <c r="G17" i="1763"/>
  <c r="F17" i="1763"/>
  <c r="P16" i="1763"/>
  <c r="P23" i="1763" s="1"/>
  <c r="O16" i="1763"/>
  <c r="N16" i="1763"/>
  <c r="H16" i="1763"/>
  <c r="G16" i="1763"/>
  <c r="F16" i="1763"/>
  <c r="F44" i="1762"/>
  <c r="F43" i="1762"/>
  <c r="O30" i="1762"/>
  <c r="O29" i="1762"/>
  <c r="L23" i="1762"/>
  <c r="H44" i="1762" s="1"/>
  <c r="D23" i="1762"/>
  <c r="H43" i="1762" s="1"/>
  <c r="P22" i="1762"/>
  <c r="O22" i="1762"/>
  <c r="N22" i="1762"/>
  <c r="H22" i="1762"/>
  <c r="G22" i="1762"/>
  <c r="F22" i="1762"/>
  <c r="P21" i="1762"/>
  <c r="O21" i="1762"/>
  <c r="N21" i="1762"/>
  <c r="H21" i="1762"/>
  <c r="G21" i="1762"/>
  <c r="F21" i="1762"/>
  <c r="P20" i="1762"/>
  <c r="O20" i="1762"/>
  <c r="N20" i="1762"/>
  <c r="H20" i="1762"/>
  <c r="G20" i="1762"/>
  <c r="F20" i="1762"/>
  <c r="P19" i="1762"/>
  <c r="O19" i="1762"/>
  <c r="N19" i="1762"/>
  <c r="H19" i="1762"/>
  <c r="G19" i="1762"/>
  <c r="F19" i="1762"/>
  <c r="P18" i="1762"/>
  <c r="O18" i="1762"/>
  <c r="N18" i="1762"/>
  <c r="H18" i="1762"/>
  <c r="G18" i="1762"/>
  <c r="F18" i="1762"/>
  <c r="P17" i="1762"/>
  <c r="O17" i="1762"/>
  <c r="N17" i="1762"/>
  <c r="H17" i="1762"/>
  <c r="G17" i="1762"/>
  <c r="F17" i="1762"/>
  <c r="F16" i="1762"/>
  <c r="G16" i="1762" s="1"/>
  <c r="H16" i="1762" s="1"/>
  <c r="H23" i="1762" s="1"/>
  <c r="F44" i="1761"/>
  <c r="F43" i="1761"/>
  <c r="O30" i="1761"/>
  <c r="O29" i="1761"/>
  <c r="L23" i="1761"/>
  <c r="H44" i="1761" s="1"/>
  <c r="D23" i="1761"/>
  <c r="H43" i="1761" s="1"/>
  <c r="P22" i="1761"/>
  <c r="O22" i="1761"/>
  <c r="N22" i="1761"/>
  <c r="H22" i="1761"/>
  <c r="G22" i="1761"/>
  <c r="F22" i="1761"/>
  <c r="P21" i="1761"/>
  <c r="O21" i="1761"/>
  <c r="N21" i="1761"/>
  <c r="H21" i="1761"/>
  <c r="G21" i="1761"/>
  <c r="F21" i="1761"/>
  <c r="P20" i="1761"/>
  <c r="O20" i="1761"/>
  <c r="N20" i="1761"/>
  <c r="H20" i="1761"/>
  <c r="G20" i="1761"/>
  <c r="F20" i="1761"/>
  <c r="P19" i="1761"/>
  <c r="O19" i="1761"/>
  <c r="N19" i="1761"/>
  <c r="H19" i="1761"/>
  <c r="G19" i="1761"/>
  <c r="F19" i="1761"/>
  <c r="P18" i="1761"/>
  <c r="O18" i="1761"/>
  <c r="N18" i="1761"/>
  <c r="H18" i="1761"/>
  <c r="G18" i="1761"/>
  <c r="F18" i="1761"/>
  <c r="P17" i="1761"/>
  <c r="O17" i="1761"/>
  <c r="N17" i="1761"/>
  <c r="H17" i="1761"/>
  <c r="G17" i="1761"/>
  <c r="F17" i="1761"/>
  <c r="F16" i="1765" l="1"/>
  <c r="G16" i="1765" s="1"/>
  <c r="H16" i="1765" s="1"/>
  <c r="H23" i="1765" s="1"/>
  <c r="N16" i="1765"/>
  <c r="O16" i="1765" s="1"/>
  <c r="P16" i="1765" s="1"/>
  <c r="P23" i="1765" s="1"/>
  <c r="H23" i="1763"/>
  <c r="N16" i="1762"/>
  <c r="O16" i="1762" s="1"/>
  <c r="P16" i="1762" s="1"/>
  <c r="P23" i="1762" s="1"/>
  <c r="F16" i="1761"/>
  <c r="G16" i="1761" s="1"/>
  <c r="H16" i="1761" s="1"/>
  <c r="H23" i="1761" s="1"/>
  <c r="N16" i="1761"/>
  <c r="O16" i="1761" s="1"/>
  <c r="P16" i="1761" s="1"/>
  <c r="P23" i="1761" s="1"/>
  <c r="F44" i="1758"/>
  <c r="F43" i="1758"/>
  <c r="O30" i="1758"/>
  <c r="O29" i="1758"/>
  <c r="L23" i="1758"/>
  <c r="H44" i="1758" s="1"/>
  <c r="D23" i="1758"/>
  <c r="H43" i="1758" s="1"/>
  <c r="P22" i="1758"/>
  <c r="O22" i="1758"/>
  <c r="N22" i="1758"/>
  <c r="H22" i="1758"/>
  <c r="G22" i="1758"/>
  <c r="F22" i="1758"/>
  <c r="P21" i="1758"/>
  <c r="O21" i="1758"/>
  <c r="N21" i="1758"/>
  <c r="H21" i="1758"/>
  <c r="G21" i="1758"/>
  <c r="F21" i="1758"/>
  <c r="P20" i="1758"/>
  <c r="O20" i="1758"/>
  <c r="N20" i="1758"/>
  <c r="H20" i="1758"/>
  <c r="G20" i="1758"/>
  <c r="F20" i="1758"/>
  <c r="P19" i="1758"/>
  <c r="O19" i="1758"/>
  <c r="N19" i="1758"/>
  <c r="H19" i="1758"/>
  <c r="G19" i="1758"/>
  <c r="F19" i="1758"/>
  <c r="P18" i="1758"/>
  <c r="O18" i="1758"/>
  <c r="N18" i="1758"/>
  <c r="H18" i="1758"/>
  <c r="G18" i="1758"/>
  <c r="F18" i="1758"/>
  <c r="P17" i="1758"/>
  <c r="O17" i="1758"/>
  <c r="N17" i="1758"/>
  <c r="H17" i="1758"/>
  <c r="G17" i="1758"/>
  <c r="F17" i="1758"/>
  <c r="F44" i="1757"/>
  <c r="F43" i="1757"/>
  <c r="O30" i="1757"/>
  <c r="O29" i="1757"/>
  <c r="L23" i="1757"/>
  <c r="H44" i="1757" s="1"/>
  <c r="D23" i="1757"/>
  <c r="H43" i="1757" s="1"/>
  <c r="P22" i="1757"/>
  <c r="O22" i="1757"/>
  <c r="N22" i="1757"/>
  <c r="H22" i="1757"/>
  <c r="G22" i="1757"/>
  <c r="F22" i="1757"/>
  <c r="P21" i="1757"/>
  <c r="O21" i="1757"/>
  <c r="N21" i="1757"/>
  <c r="H21" i="1757"/>
  <c r="G21" i="1757"/>
  <c r="F21" i="1757"/>
  <c r="P20" i="1757"/>
  <c r="O20" i="1757"/>
  <c r="N20" i="1757"/>
  <c r="H20" i="1757"/>
  <c r="G20" i="1757"/>
  <c r="F20" i="1757"/>
  <c r="P19" i="1757"/>
  <c r="O19" i="1757"/>
  <c r="N19" i="1757"/>
  <c r="H19" i="1757"/>
  <c r="G19" i="1757"/>
  <c r="F19" i="1757"/>
  <c r="P18" i="1757"/>
  <c r="O18" i="1757"/>
  <c r="N18" i="1757"/>
  <c r="H18" i="1757"/>
  <c r="G18" i="1757"/>
  <c r="F18" i="1757"/>
  <c r="P17" i="1757"/>
  <c r="O17" i="1757"/>
  <c r="N17" i="1757"/>
  <c r="H17" i="1757"/>
  <c r="G17" i="1757"/>
  <c r="F17" i="1757"/>
  <c r="F44" i="1756"/>
  <c r="F43" i="1756"/>
  <c r="O30" i="1756"/>
  <c r="O29" i="1756"/>
  <c r="L23" i="1756"/>
  <c r="H44" i="1756" s="1"/>
  <c r="D23" i="1756"/>
  <c r="H43" i="1756" s="1"/>
  <c r="P22" i="1756"/>
  <c r="O22" i="1756"/>
  <c r="N22" i="1756"/>
  <c r="H22" i="1756"/>
  <c r="G22" i="1756"/>
  <c r="F22" i="1756"/>
  <c r="P21" i="1756"/>
  <c r="O21" i="1756"/>
  <c r="N21" i="1756"/>
  <c r="H21" i="1756"/>
  <c r="G21" i="1756"/>
  <c r="F21" i="1756"/>
  <c r="P20" i="1756"/>
  <c r="O20" i="1756"/>
  <c r="N20" i="1756"/>
  <c r="H20" i="1756"/>
  <c r="G20" i="1756"/>
  <c r="F20" i="1756"/>
  <c r="P19" i="1756"/>
  <c r="O19" i="1756"/>
  <c r="N19" i="1756"/>
  <c r="H19" i="1756"/>
  <c r="G19" i="1756"/>
  <c r="F19" i="1756"/>
  <c r="P18" i="1756"/>
  <c r="O18" i="1756"/>
  <c r="N18" i="1756"/>
  <c r="F44" i="1755"/>
  <c r="F43" i="1755"/>
  <c r="O30" i="1755"/>
  <c r="O29" i="1755"/>
  <c r="L23" i="1755"/>
  <c r="H44" i="1755" s="1"/>
  <c r="D23" i="1755"/>
  <c r="H43" i="1755" s="1"/>
  <c r="P22" i="1755"/>
  <c r="O22" i="1755"/>
  <c r="N22" i="1755"/>
  <c r="H22" i="1755"/>
  <c r="G22" i="1755"/>
  <c r="F22" i="1755"/>
  <c r="P21" i="1755"/>
  <c r="O21" i="1755"/>
  <c r="N21" i="1755"/>
  <c r="H21" i="1755"/>
  <c r="G21" i="1755"/>
  <c r="F21" i="1755"/>
  <c r="P20" i="1755"/>
  <c r="O20" i="1755"/>
  <c r="N20" i="1755"/>
  <c r="H20" i="1755"/>
  <c r="G20" i="1755"/>
  <c r="F20" i="1755"/>
  <c r="P19" i="1755"/>
  <c r="O19" i="1755"/>
  <c r="N19" i="1755"/>
  <c r="H19" i="1755"/>
  <c r="G19" i="1755"/>
  <c r="F19" i="1755"/>
  <c r="P18" i="1755"/>
  <c r="O18" i="1755"/>
  <c r="N18" i="1755"/>
  <c r="F44" i="1754"/>
  <c r="F43" i="1754"/>
  <c r="O30" i="1754"/>
  <c r="O29" i="1754"/>
  <c r="L23" i="1754"/>
  <c r="H44" i="1754" s="1"/>
  <c r="D23" i="1754"/>
  <c r="H43" i="1754" s="1"/>
  <c r="P22" i="1754"/>
  <c r="O22" i="1754"/>
  <c r="N22" i="1754"/>
  <c r="H22" i="1754"/>
  <c r="G22" i="1754"/>
  <c r="F22" i="1754"/>
  <c r="P21" i="1754"/>
  <c r="O21" i="1754"/>
  <c r="N21" i="1754"/>
  <c r="H21" i="1754"/>
  <c r="G21" i="1754"/>
  <c r="F21" i="1754"/>
  <c r="P20" i="1754"/>
  <c r="O20" i="1754"/>
  <c r="N20" i="1754"/>
  <c r="H20" i="1754"/>
  <c r="G20" i="1754"/>
  <c r="F20" i="1754"/>
  <c r="P19" i="1754"/>
  <c r="O19" i="1754"/>
  <c r="N19" i="1754"/>
  <c r="H19" i="1754"/>
  <c r="G19" i="1754"/>
  <c r="F19" i="1754"/>
  <c r="P18" i="1754"/>
  <c r="O18" i="1754"/>
  <c r="N18" i="1754"/>
  <c r="H18" i="1754"/>
  <c r="G18" i="1754"/>
  <c r="F18" i="1754"/>
  <c r="P17" i="1754"/>
  <c r="O17" i="1754"/>
  <c r="N17" i="1754"/>
  <c r="H17" i="1754"/>
  <c r="G17" i="1754"/>
  <c r="F17" i="1754"/>
  <c r="H16" i="1754"/>
  <c r="G16" i="1754"/>
  <c r="F16" i="1754"/>
  <c r="F44" i="1753"/>
  <c r="F43" i="1753"/>
  <c r="O30" i="1753"/>
  <c r="O29" i="1753"/>
  <c r="L23" i="1753"/>
  <c r="H44" i="1753" s="1"/>
  <c r="D23" i="1753"/>
  <c r="H43" i="1753" s="1"/>
  <c r="P22" i="1753"/>
  <c r="O22" i="1753"/>
  <c r="N22" i="1753"/>
  <c r="H22" i="1753"/>
  <c r="G22" i="1753"/>
  <c r="F22" i="1753"/>
  <c r="P21" i="1753"/>
  <c r="O21" i="1753"/>
  <c r="N21" i="1753"/>
  <c r="H21" i="1753"/>
  <c r="G21" i="1753"/>
  <c r="F21" i="1753"/>
  <c r="P20" i="1753"/>
  <c r="O20" i="1753"/>
  <c r="N20" i="1753"/>
  <c r="H20" i="1753"/>
  <c r="G20" i="1753"/>
  <c r="F20" i="1753"/>
  <c r="P19" i="1753"/>
  <c r="O19" i="1753"/>
  <c r="N19" i="1753"/>
  <c r="H19" i="1753"/>
  <c r="G19" i="1753"/>
  <c r="F19" i="1753"/>
  <c r="P18" i="1753"/>
  <c r="O18" i="1753"/>
  <c r="N18" i="1753"/>
  <c r="H18" i="1753"/>
  <c r="G18" i="1753"/>
  <c r="F18" i="1753"/>
  <c r="P17" i="1753"/>
  <c r="O17" i="1753"/>
  <c r="N17" i="1753"/>
  <c r="H17" i="1753"/>
  <c r="G17" i="1753"/>
  <c r="F17" i="1753"/>
  <c r="P16" i="1753"/>
  <c r="P23" i="1753" s="1"/>
  <c r="O16" i="1753"/>
  <c r="N16" i="1753"/>
  <c r="H16" i="1753"/>
  <c r="G16" i="1753"/>
  <c r="F16" i="1753"/>
  <c r="F44" i="1752"/>
  <c r="F43" i="1752"/>
  <c r="O30" i="1752"/>
  <c r="O29" i="1752"/>
  <c r="L23" i="1752"/>
  <c r="H44" i="1752" s="1"/>
  <c r="D23" i="1752"/>
  <c r="H43" i="1752" s="1"/>
  <c r="P22" i="1752"/>
  <c r="O22" i="1752"/>
  <c r="N22" i="1752"/>
  <c r="H22" i="1752"/>
  <c r="G22" i="1752"/>
  <c r="F22" i="1752"/>
  <c r="P21" i="1752"/>
  <c r="O21" i="1752"/>
  <c r="N21" i="1752"/>
  <c r="H21" i="1752"/>
  <c r="G21" i="1752"/>
  <c r="F21" i="1752"/>
  <c r="P20" i="1752"/>
  <c r="O20" i="1752"/>
  <c r="N20" i="1752"/>
  <c r="H20" i="1752"/>
  <c r="G20" i="1752"/>
  <c r="F20" i="1752"/>
  <c r="P19" i="1752"/>
  <c r="O19" i="1752"/>
  <c r="N19" i="1752"/>
  <c r="H19" i="1752"/>
  <c r="G19" i="1752"/>
  <c r="F19" i="1752"/>
  <c r="P18" i="1752"/>
  <c r="O18" i="1752"/>
  <c r="N18" i="1752"/>
  <c r="H18" i="1752"/>
  <c r="G18" i="1752"/>
  <c r="F18" i="1752"/>
  <c r="P17" i="1752"/>
  <c r="O17" i="1752"/>
  <c r="N17" i="1752"/>
  <c r="H17" i="1752"/>
  <c r="G17" i="1752"/>
  <c r="F17" i="1752"/>
  <c r="F44" i="1751"/>
  <c r="F43" i="1751"/>
  <c r="O30" i="1751"/>
  <c r="O29" i="1751"/>
  <c r="L23" i="1751"/>
  <c r="H44" i="1751" s="1"/>
  <c r="D23" i="1751"/>
  <c r="H43" i="1751" s="1"/>
  <c r="P22" i="1751"/>
  <c r="O22" i="1751"/>
  <c r="N22" i="1751"/>
  <c r="H22" i="1751"/>
  <c r="G22" i="1751"/>
  <c r="F22" i="1751"/>
  <c r="P21" i="1751"/>
  <c r="O21" i="1751"/>
  <c r="N21" i="1751"/>
  <c r="H21" i="1751"/>
  <c r="G21" i="1751"/>
  <c r="F21" i="1751"/>
  <c r="P20" i="1751"/>
  <c r="O20" i="1751"/>
  <c r="N20" i="1751"/>
  <c r="H20" i="1751"/>
  <c r="G20" i="1751"/>
  <c r="F20" i="1751"/>
  <c r="P19" i="1751"/>
  <c r="O19" i="1751"/>
  <c r="N19" i="1751"/>
  <c r="H19" i="1751"/>
  <c r="G19" i="1751"/>
  <c r="F19" i="1751"/>
  <c r="P18" i="1751"/>
  <c r="O18" i="1751"/>
  <c r="N18" i="1751"/>
  <c r="H18" i="1751"/>
  <c r="G18" i="1751"/>
  <c r="F18" i="1751"/>
  <c r="P17" i="1751"/>
  <c r="O17" i="1751"/>
  <c r="N17" i="1751"/>
  <c r="H17" i="1751"/>
  <c r="G17" i="1751"/>
  <c r="F17" i="1751"/>
  <c r="F44" i="1750"/>
  <c r="F43" i="1750"/>
  <c r="O30" i="1750"/>
  <c r="O29" i="1750"/>
  <c r="L23" i="1750"/>
  <c r="H44" i="1750" s="1"/>
  <c r="D23" i="1750"/>
  <c r="H43" i="1750" s="1"/>
  <c r="P22" i="1750"/>
  <c r="O22" i="1750"/>
  <c r="N22" i="1750"/>
  <c r="H22" i="1750"/>
  <c r="G22" i="1750"/>
  <c r="F22" i="1750"/>
  <c r="P21" i="1750"/>
  <c r="O21" i="1750"/>
  <c r="N21" i="1750"/>
  <c r="H21" i="1750"/>
  <c r="G21" i="1750"/>
  <c r="F21" i="1750"/>
  <c r="P20" i="1750"/>
  <c r="O20" i="1750"/>
  <c r="N20" i="1750"/>
  <c r="H20" i="1750"/>
  <c r="G20" i="1750"/>
  <c r="F20" i="1750"/>
  <c r="P19" i="1750"/>
  <c r="O19" i="1750"/>
  <c r="N19" i="1750"/>
  <c r="H19" i="1750"/>
  <c r="G19" i="1750"/>
  <c r="F19" i="1750"/>
  <c r="P18" i="1750"/>
  <c r="O18" i="1750"/>
  <c r="N18" i="1750"/>
  <c r="H18" i="1750"/>
  <c r="G18" i="1750"/>
  <c r="F18" i="1750"/>
  <c r="P17" i="1750"/>
  <c r="O17" i="1750"/>
  <c r="N17" i="1750"/>
  <c r="F44" i="1749"/>
  <c r="F43" i="1749"/>
  <c r="O30" i="1749"/>
  <c r="O29" i="1749"/>
  <c r="L23" i="1749"/>
  <c r="H44" i="1749" s="1"/>
  <c r="D23" i="1749"/>
  <c r="H43" i="1749" s="1"/>
  <c r="P22" i="1749"/>
  <c r="O22" i="1749"/>
  <c r="N22" i="1749"/>
  <c r="H22" i="1749"/>
  <c r="G22" i="1749"/>
  <c r="F22" i="1749"/>
  <c r="P21" i="1749"/>
  <c r="O21" i="1749"/>
  <c r="N21" i="1749"/>
  <c r="H21" i="1749"/>
  <c r="G21" i="1749"/>
  <c r="F21" i="1749"/>
  <c r="P20" i="1749"/>
  <c r="O20" i="1749"/>
  <c r="N20" i="1749"/>
  <c r="H20" i="1749"/>
  <c r="G20" i="1749"/>
  <c r="F20" i="1749"/>
  <c r="P19" i="1749"/>
  <c r="O19" i="1749"/>
  <c r="N19" i="1749"/>
  <c r="H19" i="1749"/>
  <c r="G19" i="1749"/>
  <c r="F19" i="1749"/>
  <c r="P18" i="1749"/>
  <c r="O18" i="1749"/>
  <c r="N18" i="1749"/>
  <c r="H18" i="1749"/>
  <c r="G18" i="1749"/>
  <c r="F18" i="1749"/>
  <c r="P17" i="1749"/>
  <c r="O17" i="1749"/>
  <c r="N17" i="1749"/>
  <c r="P16" i="1749"/>
  <c r="P23" i="1749" s="1"/>
  <c r="O16" i="1749"/>
  <c r="N16" i="1749"/>
  <c r="F44" i="1748"/>
  <c r="F43" i="1748"/>
  <c r="O30" i="1748"/>
  <c r="O29" i="1748"/>
  <c r="L23" i="1748"/>
  <c r="H44" i="1748" s="1"/>
  <c r="D23" i="1748"/>
  <c r="H43" i="1748" s="1"/>
  <c r="P22" i="1748"/>
  <c r="O22" i="1748"/>
  <c r="N22" i="1748"/>
  <c r="H22" i="1748"/>
  <c r="G22" i="1748"/>
  <c r="F22" i="1748"/>
  <c r="P21" i="1748"/>
  <c r="O21" i="1748"/>
  <c r="N21" i="1748"/>
  <c r="H21" i="1748"/>
  <c r="G21" i="1748"/>
  <c r="F21" i="1748"/>
  <c r="P20" i="1748"/>
  <c r="O20" i="1748"/>
  <c r="N20" i="1748"/>
  <c r="H20" i="1748"/>
  <c r="G20" i="1748"/>
  <c r="F20" i="1748"/>
  <c r="P19" i="1748"/>
  <c r="O19" i="1748"/>
  <c r="N19" i="1748"/>
  <c r="H19" i="1748"/>
  <c r="G19" i="1748"/>
  <c r="F19" i="1748"/>
  <c r="P18" i="1748"/>
  <c r="O18" i="1748"/>
  <c r="N18" i="1748"/>
  <c r="F18" i="1748"/>
  <c r="G18" i="1748" s="1"/>
  <c r="H18" i="1748" s="1"/>
  <c r="P17" i="1748"/>
  <c r="O17" i="1748"/>
  <c r="N17" i="1748"/>
  <c r="F44" i="1747"/>
  <c r="F43" i="1747"/>
  <c r="O30" i="1747"/>
  <c r="O29" i="1747"/>
  <c r="L23" i="1747"/>
  <c r="H44" i="1747" s="1"/>
  <c r="D23" i="1747"/>
  <c r="H43" i="1747" s="1"/>
  <c r="P22" i="1747"/>
  <c r="O22" i="1747"/>
  <c r="N22" i="1747"/>
  <c r="H22" i="1747"/>
  <c r="G22" i="1747"/>
  <c r="F22" i="1747"/>
  <c r="P21" i="1747"/>
  <c r="O21" i="1747"/>
  <c r="N21" i="1747"/>
  <c r="H21" i="1747"/>
  <c r="G21" i="1747"/>
  <c r="F21" i="1747"/>
  <c r="P20" i="1747"/>
  <c r="O20" i="1747"/>
  <c r="N20" i="1747"/>
  <c r="H20" i="1747"/>
  <c r="G20" i="1747"/>
  <c r="F20" i="1747"/>
  <c r="P19" i="1747"/>
  <c r="O19" i="1747"/>
  <c r="N19" i="1747"/>
  <c r="H19" i="1747"/>
  <c r="G19" i="1747"/>
  <c r="F19" i="1747"/>
  <c r="P18" i="1747"/>
  <c r="O18" i="1747"/>
  <c r="N18" i="1747"/>
  <c r="H18" i="1747"/>
  <c r="G18" i="1747"/>
  <c r="F18" i="1747"/>
  <c r="P17" i="1747"/>
  <c r="O17" i="1747"/>
  <c r="N17" i="1747"/>
  <c r="H17" i="1747"/>
  <c r="G17" i="1747"/>
  <c r="F17" i="1747"/>
  <c r="H16" i="1747"/>
  <c r="G16" i="1747"/>
  <c r="F16" i="1747"/>
  <c r="F44" i="1746"/>
  <c r="F43" i="1746"/>
  <c r="O30" i="1746"/>
  <c r="O29" i="1746"/>
  <c r="L23" i="1746"/>
  <c r="H44" i="1746" s="1"/>
  <c r="D23" i="1746"/>
  <c r="H43" i="1746" s="1"/>
  <c r="P22" i="1746"/>
  <c r="O22" i="1746"/>
  <c r="N22" i="1746"/>
  <c r="H22" i="1746"/>
  <c r="G22" i="1746"/>
  <c r="F22" i="1746"/>
  <c r="P21" i="1746"/>
  <c r="O21" i="1746"/>
  <c r="N21" i="1746"/>
  <c r="H21" i="1746"/>
  <c r="G21" i="1746"/>
  <c r="F21" i="1746"/>
  <c r="P20" i="1746"/>
  <c r="O20" i="1746"/>
  <c r="N20" i="1746"/>
  <c r="H20" i="1746"/>
  <c r="G20" i="1746"/>
  <c r="F20" i="1746"/>
  <c r="P19" i="1746"/>
  <c r="O19" i="1746"/>
  <c r="N19" i="1746"/>
  <c r="H19" i="1746"/>
  <c r="G19" i="1746"/>
  <c r="F19" i="1746"/>
  <c r="P18" i="1746"/>
  <c r="O18" i="1746"/>
  <c r="N18" i="1746"/>
  <c r="H18" i="1746"/>
  <c r="G18" i="1746"/>
  <c r="F18" i="1746"/>
  <c r="P17" i="1746"/>
  <c r="O17" i="1746"/>
  <c r="N17" i="1746"/>
  <c r="H17" i="1746"/>
  <c r="G17" i="1746"/>
  <c r="F17" i="1746"/>
  <c r="P16" i="1746"/>
  <c r="O16" i="1746"/>
  <c r="N16" i="1746"/>
  <c r="F44" i="1745"/>
  <c r="F43" i="1745"/>
  <c r="O30" i="1745"/>
  <c r="O29" i="1745"/>
  <c r="L23" i="1745"/>
  <c r="H44" i="1745" s="1"/>
  <c r="D23" i="1745"/>
  <c r="H43" i="1745" s="1"/>
  <c r="P22" i="1745"/>
  <c r="O22" i="1745"/>
  <c r="N22" i="1745"/>
  <c r="H22" i="1745"/>
  <c r="G22" i="1745"/>
  <c r="F22" i="1745"/>
  <c r="P21" i="1745"/>
  <c r="O21" i="1745"/>
  <c r="N21" i="1745"/>
  <c r="H21" i="1745"/>
  <c r="G21" i="1745"/>
  <c r="F21" i="1745"/>
  <c r="P20" i="1745"/>
  <c r="O20" i="1745"/>
  <c r="N20" i="1745"/>
  <c r="H20" i="1745"/>
  <c r="G20" i="1745"/>
  <c r="F20" i="1745"/>
  <c r="P19" i="1745"/>
  <c r="O19" i="1745"/>
  <c r="N19" i="1745"/>
  <c r="H19" i="1745"/>
  <c r="G19" i="1745"/>
  <c r="F19" i="1745"/>
  <c r="P18" i="1745"/>
  <c r="O18" i="1745"/>
  <c r="N18" i="1745"/>
  <c r="H18" i="1745"/>
  <c r="G18" i="1745"/>
  <c r="F18" i="1745"/>
  <c r="P17" i="1745"/>
  <c r="O17" i="1745"/>
  <c r="N17" i="1745"/>
  <c r="H17" i="1745"/>
  <c r="G17" i="1745"/>
  <c r="F17" i="1745"/>
  <c r="P16" i="1745"/>
  <c r="P23" i="1745" s="1"/>
  <c r="O16" i="1745"/>
  <c r="N16" i="1745"/>
  <c r="F44" i="1744"/>
  <c r="F43" i="1744"/>
  <c r="O30" i="1744"/>
  <c r="O29" i="1744"/>
  <c r="L23" i="1744"/>
  <c r="H44" i="1744" s="1"/>
  <c r="D23" i="1744"/>
  <c r="H43" i="1744" s="1"/>
  <c r="P22" i="1744"/>
  <c r="O22" i="1744"/>
  <c r="N22" i="1744"/>
  <c r="H22" i="1744"/>
  <c r="G22" i="1744"/>
  <c r="F22" i="1744"/>
  <c r="P21" i="1744"/>
  <c r="O21" i="1744"/>
  <c r="N21" i="1744"/>
  <c r="H21" i="1744"/>
  <c r="G21" i="1744"/>
  <c r="F21" i="1744"/>
  <c r="P20" i="1744"/>
  <c r="O20" i="1744"/>
  <c r="N20" i="1744"/>
  <c r="H20" i="1744"/>
  <c r="G20" i="1744"/>
  <c r="F20" i="1744"/>
  <c r="P19" i="1744"/>
  <c r="O19" i="1744"/>
  <c r="N19" i="1744"/>
  <c r="H19" i="1744"/>
  <c r="G19" i="1744"/>
  <c r="F19" i="1744"/>
  <c r="P18" i="1744"/>
  <c r="O18" i="1744"/>
  <c r="N18" i="1744"/>
  <c r="H18" i="1744"/>
  <c r="G18" i="1744"/>
  <c r="F18" i="1744"/>
  <c r="P17" i="1744"/>
  <c r="O17" i="1744"/>
  <c r="N17" i="1744"/>
  <c r="F44" i="1743"/>
  <c r="F43" i="1743"/>
  <c r="O30" i="1743"/>
  <c r="O29" i="1743"/>
  <c r="L23" i="1743"/>
  <c r="H44" i="1743" s="1"/>
  <c r="D23" i="1743"/>
  <c r="H43" i="1743" s="1"/>
  <c r="P22" i="1743"/>
  <c r="O22" i="1743"/>
  <c r="N22" i="1743"/>
  <c r="H22" i="1743"/>
  <c r="G22" i="1743"/>
  <c r="F22" i="1743"/>
  <c r="P21" i="1743"/>
  <c r="O21" i="1743"/>
  <c r="N21" i="1743"/>
  <c r="H21" i="1743"/>
  <c r="G21" i="1743"/>
  <c r="F21" i="1743"/>
  <c r="P20" i="1743"/>
  <c r="O20" i="1743"/>
  <c r="N20" i="1743"/>
  <c r="H20" i="1743"/>
  <c r="G20" i="1743"/>
  <c r="F20" i="1743"/>
  <c r="P19" i="1743"/>
  <c r="O19" i="1743"/>
  <c r="N19" i="1743"/>
  <c r="H19" i="1743"/>
  <c r="G19" i="1743"/>
  <c r="F19" i="1743"/>
  <c r="P18" i="1743"/>
  <c r="O18" i="1743"/>
  <c r="N18" i="1743"/>
  <c r="H18" i="1743"/>
  <c r="G18" i="1743"/>
  <c r="F18" i="1743"/>
  <c r="P17" i="1743"/>
  <c r="O17" i="1743"/>
  <c r="N17" i="1743"/>
  <c r="H23" i="1754" l="1"/>
  <c r="H23" i="1753"/>
  <c r="F16" i="1758"/>
  <c r="G16" i="1758" s="1"/>
  <c r="H16" i="1758" s="1"/>
  <c r="H23" i="1758" s="1"/>
  <c r="N16" i="1758"/>
  <c r="O16" i="1758" s="1"/>
  <c r="P16" i="1758" s="1"/>
  <c r="P23" i="1758" s="1"/>
  <c r="F18" i="1756"/>
  <c r="G18" i="1756" s="1"/>
  <c r="H18" i="1756" s="1"/>
  <c r="F17" i="1756"/>
  <c r="G17" i="1756" s="1"/>
  <c r="H17" i="1756" s="1"/>
  <c r="F16" i="1756"/>
  <c r="G16" i="1756" s="1"/>
  <c r="H16" i="1756" s="1"/>
  <c r="N17" i="1756"/>
  <c r="O17" i="1756" s="1"/>
  <c r="P17" i="1756" s="1"/>
  <c r="N16" i="1756"/>
  <c r="O16" i="1756" s="1"/>
  <c r="P16" i="1756" s="1"/>
  <c r="F16" i="1752"/>
  <c r="G16" i="1752" s="1"/>
  <c r="H16" i="1752" s="1"/>
  <c r="H23" i="1752" s="1"/>
  <c r="N16" i="1752"/>
  <c r="O16" i="1752" s="1"/>
  <c r="P16" i="1752" s="1"/>
  <c r="P23" i="1752" s="1"/>
  <c r="F17" i="1750"/>
  <c r="G17" i="1750" s="1"/>
  <c r="H17" i="1750" s="1"/>
  <c r="P23" i="1746"/>
  <c r="H23" i="1747"/>
  <c r="N16" i="1748"/>
  <c r="O16" i="1748" s="1"/>
  <c r="P16" i="1748" s="1"/>
  <c r="P23" i="1748" s="1"/>
  <c r="F16" i="1746"/>
  <c r="G16" i="1746" s="1"/>
  <c r="H16" i="1746" s="1"/>
  <c r="H23" i="1746" s="1"/>
  <c r="F17" i="1744"/>
  <c r="G17" i="1744" s="1"/>
  <c r="H17" i="1744" s="1"/>
  <c r="N16" i="1744"/>
  <c r="O16" i="1744" s="1"/>
  <c r="P16" i="1744" s="1"/>
  <c r="P23" i="1744" s="1"/>
  <c r="F44" i="1742"/>
  <c r="F43" i="1742"/>
  <c r="O30" i="1742"/>
  <c r="O29" i="1742"/>
  <c r="L23" i="1742"/>
  <c r="H44" i="1742" s="1"/>
  <c r="D23" i="1742"/>
  <c r="H43" i="1742" s="1"/>
  <c r="P22" i="1742"/>
  <c r="O22" i="1742"/>
  <c r="N22" i="1742"/>
  <c r="H22" i="1742"/>
  <c r="G22" i="1742"/>
  <c r="F22" i="1742"/>
  <c r="P21" i="1742"/>
  <c r="O21" i="1742"/>
  <c r="N21" i="1742"/>
  <c r="H21" i="1742"/>
  <c r="G21" i="1742"/>
  <c r="F21" i="1742"/>
  <c r="P20" i="1742"/>
  <c r="O20" i="1742"/>
  <c r="N20" i="1742"/>
  <c r="H20" i="1742"/>
  <c r="G20" i="1742"/>
  <c r="F20" i="1742"/>
  <c r="P19" i="1742"/>
  <c r="O19" i="1742"/>
  <c r="N19" i="1742"/>
  <c r="H19" i="1742"/>
  <c r="G19" i="1742"/>
  <c r="F19" i="1742"/>
  <c r="P18" i="1742"/>
  <c r="O18" i="1742"/>
  <c r="N18" i="1742"/>
  <c r="H18" i="1742"/>
  <c r="G18" i="1742"/>
  <c r="F18" i="1742"/>
  <c r="P17" i="1742"/>
  <c r="O17" i="1742"/>
  <c r="N17" i="1742"/>
  <c r="H17" i="1742"/>
  <c r="G17" i="1742"/>
  <c r="F17" i="1742"/>
  <c r="H16" i="1742"/>
  <c r="G16" i="1742"/>
  <c r="F16" i="1742"/>
  <c r="F44" i="1741"/>
  <c r="F43" i="1741"/>
  <c r="O30" i="1741"/>
  <c r="O29" i="1741"/>
  <c r="L23" i="1741"/>
  <c r="H44" i="1741" s="1"/>
  <c r="D23" i="1741"/>
  <c r="H43" i="1741" s="1"/>
  <c r="P22" i="1741"/>
  <c r="O22" i="1741"/>
  <c r="N22" i="1741"/>
  <c r="H22" i="1741"/>
  <c r="G22" i="1741"/>
  <c r="F22" i="1741"/>
  <c r="P21" i="1741"/>
  <c r="O21" i="1741"/>
  <c r="N21" i="1741"/>
  <c r="H21" i="1741"/>
  <c r="G21" i="1741"/>
  <c r="F21" i="1741"/>
  <c r="P20" i="1741"/>
  <c r="O20" i="1741"/>
  <c r="N20" i="1741"/>
  <c r="H20" i="1741"/>
  <c r="G20" i="1741"/>
  <c r="F20" i="1741"/>
  <c r="P19" i="1741"/>
  <c r="O19" i="1741"/>
  <c r="N19" i="1741"/>
  <c r="H19" i="1741"/>
  <c r="G19" i="1741"/>
  <c r="F19" i="1741"/>
  <c r="P18" i="1741"/>
  <c r="O18" i="1741"/>
  <c r="N18" i="1741"/>
  <c r="H18" i="1741"/>
  <c r="G18" i="1741"/>
  <c r="F18" i="1741"/>
  <c r="H17" i="1741"/>
  <c r="G17" i="1741"/>
  <c r="F17" i="1741"/>
  <c r="H16" i="1741"/>
  <c r="G16" i="1741"/>
  <c r="F16" i="1741"/>
  <c r="F44" i="1740"/>
  <c r="F43" i="1740"/>
  <c r="O30" i="1740"/>
  <c r="O29" i="1740"/>
  <c r="L23" i="1740"/>
  <c r="H44" i="1740" s="1"/>
  <c r="D23" i="1740"/>
  <c r="H43" i="1740" s="1"/>
  <c r="P22" i="1740"/>
  <c r="O22" i="1740"/>
  <c r="N22" i="1740"/>
  <c r="H22" i="1740"/>
  <c r="G22" i="1740"/>
  <c r="F22" i="1740"/>
  <c r="P21" i="1740"/>
  <c r="O21" i="1740"/>
  <c r="N21" i="1740"/>
  <c r="H21" i="1740"/>
  <c r="G21" i="1740"/>
  <c r="F21" i="1740"/>
  <c r="P20" i="1740"/>
  <c r="O20" i="1740"/>
  <c r="N20" i="1740"/>
  <c r="H20" i="1740"/>
  <c r="G20" i="1740"/>
  <c r="F20" i="1740"/>
  <c r="P19" i="1740"/>
  <c r="O19" i="1740"/>
  <c r="N19" i="1740"/>
  <c r="H19" i="1740"/>
  <c r="G19" i="1740"/>
  <c r="F19" i="1740"/>
  <c r="P18" i="1740"/>
  <c r="O18" i="1740"/>
  <c r="N18" i="1740"/>
  <c r="H18" i="1740"/>
  <c r="G18" i="1740"/>
  <c r="F18" i="1740"/>
  <c r="H17" i="1740"/>
  <c r="G17" i="1740"/>
  <c r="F17" i="1740"/>
  <c r="H16" i="1740"/>
  <c r="G16" i="1740"/>
  <c r="F16" i="1740"/>
  <c r="F44" i="1739"/>
  <c r="F43" i="1739"/>
  <c r="O30" i="1739"/>
  <c r="O29" i="1739"/>
  <c r="L23" i="1739"/>
  <c r="H44" i="1739" s="1"/>
  <c r="D23" i="1739"/>
  <c r="H43" i="1739" s="1"/>
  <c r="P22" i="1739"/>
  <c r="O22" i="1739"/>
  <c r="N22" i="1739"/>
  <c r="H22" i="1739"/>
  <c r="G22" i="1739"/>
  <c r="F22" i="1739"/>
  <c r="P21" i="1739"/>
  <c r="O21" i="1739"/>
  <c r="N21" i="1739"/>
  <c r="H21" i="1739"/>
  <c r="G21" i="1739"/>
  <c r="F21" i="1739"/>
  <c r="P20" i="1739"/>
  <c r="O20" i="1739"/>
  <c r="N20" i="1739"/>
  <c r="H20" i="1739"/>
  <c r="G20" i="1739"/>
  <c r="F20" i="1739"/>
  <c r="P19" i="1739"/>
  <c r="O19" i="1739"/>
  <c r="N19" i="1739"/>
  <c r="H19" i="1739"/>
  <c r="G19" i="1739"/>
  <c r="F19" i="1739"/>
  <c r="P18" i="1739"/>
  <c r="O18" i="1739"/>
  <c r="N18" i="1739"/>
  <c r="H18" i="1739"/>
  <c r="G18" i="1739"/>
  <c r="F18" i="1739"/>
  <c r="P17" i="1739"/>
  <c r="O17" i="1739"/>
  <c r="N17" i="1739"/>
  <c r="H17" i="1739"/>
  <c r="G17" i="1739"/>
  <c r="F17" i="1739"/>
  <c r="H16" i="1739"/>
  <c r="G16" i="1739"/>
  <c r="F16" i="1739"/>
  <c r="F44" i="1738"/>
  <c r="F43" i="1738"/>
  <c r="O30" i="1738"/>
  <c r="O29" i="1738"/>
  <c r="L23" i="1738"/>
  <c r="H44" i="1738" s="1"/>
  <c r="D23" i="1738"/>
  <c r="H43" i="1738" s="1"/>
  <c r="P22" i="1738"/>
  <c r="O22" i="1738"/>
  <c r="N22" i="1738"/>
  <c r="H22" i="1738"/>
  <c r="G22" i="1738"/>
  <c r="F22" i="1738"/>
  <c r="P21" i="1738"/>
  <c r="O21" i="1738"/>
  <c r="N21" i="1738"/>
  <c r="H21" i="1738"/>
  <c r="G21" i="1738"/>
  <c r="F21" i="1738"/>
  <c r="P20" i="1738"/>
  <c r="O20" i="1738"/>
  <c r="N20" i="1738"/>
  <c r="H20" i="1738"/>
  <c r="G20" i="1738"/>
  <c r="F20" i="1738"/>
  <c r="P19" i="1738"/>
  <c r="O19" i="1738"/>
  <c r="N19" i="1738"/>
  <c r="H19" i="1738"/>
  <c r="G19" i="1738"/>
  <c r="F19" i="1738"/>
  <c r="P18" i="1738"/>
  <c r="O18" i="1738"/>
  <c r="N18" i="1738"/>
  <c r="H18" i="1738"/>
  <c r="G18" i="1738"/>
  <c r="F18" i="1738"/>
  <c r="P17" i="1738"/>
  <c r="O17" i="1738"/>
  <c r="N17" i="1738"/>
  <c r="H17" i="1738"/>
  <c r="G17" i="1738"/>
  <c r="F17" i="1738"/>
  <c r="H16" i="1738"/>
  <c r="G16" i="1738"/>
  <c r="F16" i="1738"/>
  <c r="F44" i="1737"/>
  <c r="F43" i="1737"/>
  <c r="O30" i="1737"/>
  <c r="O29" i="1737"/>
  <c r="L23" i="1737"/>
  <c r="H44" i="1737" s="1"/>
  <c r="D23" i="1737"/>
  <c r="H43" i="1737" s="1"/>
  <c r="P22" i="1737"/>
  <c r="O22" i="1737"/>
  <c r="N22" i="1737"/>
  <c r="H22" i="1737"/>
  <c r="G22" i="1737"/>
  <c r="F22" i="1737"/>
  <c r="P21" i="1737"/>
  <c r="O21" i="1737"/>
  <c r="N21" i="1737"/>
  <c r="H21" i="1737"/>
  <c r="G21" i="1737"/>
  <c r="F21" i="1737"/>
  <c r="P20" i="1737"/>
  <c r="O20" i="1737"/>
  <c r="N20" i="1737"/>
  <c r="H20" i="1737"/>
  <c r="G20" i="1737"/>
  <c r="F20" i="1737"/>
  <c r="P19" i="1737"/>
  <c r="O19" i="1737"/>
  <c r="N19" i="1737"/>
  <c r="H19" i="1737"/>
  <c r="G19" i="1737"/>
  <c r="F19" i="1737"/>
  <c r="P18" i="1737"/>
  <c r="O18" i="1737"/>
  <c r="N18" i="1737"/>
  <c r="H18" i="1737"/>
  <c r="G18" i="1737"/>
  <c r="F18" i="1737"/>
  <c r="P17" i="1737"/>
  <c r="O17" i="1737"/>
  <c r="N17" i="1737"/>
  <c r="H17" i="1737"/>
  <c r="G17" i="1737"/>
  <c r="F17" i="1737"/>
  <c r="H16" i="1737"/>
  <c r="G16" i="1737"/>
  <c r="F16" i="1737"/>
  <c r="F44" i="1736"/>
  <c r="F43" i="1736"/>
  <c r="O30" i="1736"/>
  <c r="O29" i="1736"/>
  <c r="L23" i="1736"/>
  <c r="H44" i="1736" s="1"/>
  <c r="D23" i="1736"/>
  <c r="H43" i="1736" s="1"/>
  <c r="P22" i="1736"/>
  <c r="O22" i="1736"/>
  <c r="N22" i="1736"/>
  <c r="H22" i="1736"/>
  <c r="G22" i="1736"/>
  <c r="F22" i="1736"/>
  <c r="P21" i="1736"/>
  <c r="O21" i="1736"/>
  <c r="N21" i="1736"/>
  <c r="H21" i="1736"/>
  <c r="G21" i="1736"/>
  <c r="F21" i="1736"/>
  <c r="P20" i="1736"/>
  <c r="O20" i="1736"/>
  <c r="N20" i="1736"/>
  <c r="H20" i="1736"/>
  <c r="G20" i="1736"/>
  <c r="F20" i="1736"/>
  <c r="P19" i="1736"/>
  <c r="O19" i="1736"/>
  <c r="N19" i="1736"/>
  <c r="H19" i="1736"/>
  <c r="G19" i="1736"/>
  <c r="F19" i="1736"/>
  <c r="P18" i="1736"/>
  <c r="O18" i="1736"/>
  <c r="N18" i="1736"/>
  <c r="H18" i="1736"/>
  <c r="G18" i="1736"/>
  <c r="F18" i="1736"/>
  <c r="P17" i="1736"/>
  <c r="O17" i="1736"/>
  <c r="N17" i="1736"/>
  <c r="H17" i="1736"/>
  <c r="G17" i="1736"/>
  <c r="F17" i="1736"/>
  <c r="P16" i="1736"/>
  <c r="O16" i="1736"/>
  <c r="N16" i="1736"/>
  <c r="H16" i="1736"/>
  <c r="G16" i="1736"/>
  <c r="F16" i="1736"/>
  <c r="F44" i="1735"/>
  <c r="F43" i="1735"/>
  <c r="O30" i="1735"/>
  <c r="O29" i="1735"/>
  <c r="L23" i="1735"/>
  <c r="H44" i="1735" s="1"/>
  <c r="D23" i="1735"/>
  <c r="H43" i="1735" s="1"/>
  <c r="P22" i="1735"/>
  <c r="O22" i="1735"/>
  <c r="N22" i="1735"/>
  <c r="H22" i="1735"/>
  <c r="G22" i="1735"/>
  <c r="F22" i="1735"/>
  <c r="P21" i="1735"/>
  <c r="O21" i="1735"/>
  <c r="N21" i="1735"/>
  <c r="H21" i="1735"/>
  <c r="G21" i="1735"/>
  <c r="F21" i="1735"/>
  <c r="P20" i="1735"/>
  <c r="O20" i="1735"/>
  <c r="N20" i="1735"/>
  <c r="H20" i="1735"/>
  <c r="G20" i="1735"/>
  <c r="F20" i="1735"/>
  <c r="P19" i="1735"/>
  <c r="O19" i="1735"/>
  <c r="N19" i="1735"/>
  <c r="H19" i="1735"/>
  <c r="G19" i="1735"/>
  <c r="F19" i="1735"/>
  <c r="P18" i="1735"/>
  <c r="O18" i="1735"/>
  <c r="N18" i="1735"/>
  <c r="H18" i="1735"/>
  <c r="G18" i="1735"/>
  <c r="F18" i="1735"/>
  <c r="P17" i="1735"/>
  <c r="O17" i="1735"/>
  <c r="N17" i="1735"/>
  <c r="H17" i="1735"/>
  <c r="G17" i="1735"/>
  <c r="F17" i="1735"/>
  <c r="P16" i="1735"/>
  <c r="O16" i="1735"/>
  <c r="N16" i="1735"/>
  <c r="H16" i="1735"/>
  <c r="G16" i="1735"/>
  <c r="F16" i="1735"/>
  <c r="F44" i="1734"/>
  <c r="F43" i="1734"/>
  <c r="O30" i="1734"/>
  <c r="O29" i="1734"/>
  <c r="L23" i="1734"/>
  <c r="H44" i="1734" s="1"/>
  <c r="D23" i="1734"/>
  <c r="H43" i="1734" s="1"/>
  <c r="P22" i="1734"/>
  <c r="O22" i="1734"/>
  <c r="N22" i="1734"/>
  <c r="H22" i="1734"/>
  <c r="G22" i="1734"/>
  <c r="F22" i="1734"/>
  <c r="P21" i="1734"/>
  <c r="O21" i="1734"/>
  <c r="N21" i="1734"/>
  <c r="H21" i="1734"/>
  <c r="G21" i="1734"/>
  <c r="F21" i="1734"/>
  <c r="P20" i="1734"/>
  <c r="O20" i="1734"/>
  <c r="N20" i="1734"/>
  <c r="H20" i="1734"/>
  <c r="G20" i="1734"/>
  <c r="F20" i="1734"/>
  <c r="P19" i="1734"/>
  <c r="O19" i="1734"/>
  <c r="N19" i="1734"/>
  <c r="H19" i="1734"/>
  <c r="G19" i="1734"/>
  <c r="F19" i="1734"/>
  <c r="P18" i="1734"/>
  <c r="O18" i="1734"/>
  <c r="N18" i="1734"/>
  <c r="H18" i="1734"/>
  <c r="G18" i="1734"/>
  <c r="F18" i="1734"/>
  <c r="P17" i="1734"/>
  <c r="O17" i="1734"/>
  <c r="N17" i="1734"/>
  <c r="H17" i="1734"/>
  <c r="G17" i="1734"/>
  <c r="F17" i="1734"/>
  <c r="H16" i="1734"/>
  <c r="G16" i="1734"/>
  <c r="F16" i="1734"/>
  <c r="F44" i="1733"/>
  <c r="F43" i="1733"/>
  <c r="O30" i="1733"/>
  <c r="O29" i="1733"/>
  <c r="L23" i="1733"/>
  <c r="H44" i="1733" s="1"/>
  <c r="D23" i="1733"/>
  <c r="H43" i="1733" s="1"/>
  <c r="P22" i="1733"/>
  <c r="O22" i="1733"/>
  <c r="N22" i="1733"/>
  <c r="H22" i="1733"/>
  <c r="G22" i="1733"/>
  <c r="F22" i="1733"/>
  <c r="P21" i="1733"/>
  <c r="O21" i="1733"/>
  <c r="N21" i="1733"/>
  <c r="H21" i="1733"/>
  <c r="G21" i="1733"/>
  <c r="F21" i="1733"/>
  <c r="P20" i="1733"/>
  <c r="O20" i="1733"/>
  <c r="N20" i="1733"/>
  <c r="H20" i="1733"/>
  <c r="G20" i="1733"/>
  <c r="F20" i="1733"/>
  <c r="P19" i="1733"/>
  <c r="O19" i="1733"/>
  <c r="N19" i="1733"/>
  <c r="H19" i="1733"/>
  <c r="G19" i="1733"/>
  <c r="F19" i="1733"/>
  <c r="P18" i="1733"/>
  <c r="O18" i="1733"/>
  <c r="N18" i="1733"/>
  <c r="H18" i="1733"/>
  <c r="G18" i="1733"/>
  <c r="F18" i="1733"/>
  <c r="P17" i="1733"/>
  <c r="O17" i="1733"/>
  <c r="N17" i="1733"/>
  <c r="H17" i="1733"/>
  <c r="G17" i="1733"/>
  <c r="F17" i="1733"/>
  <c r="H16" i="1733"/>
  <c r="G16" i="1733"/>
  <c r="F16" i="1733"/>
  <c r="F44" i="1732"/>
  <c r="F43" i="1732"/>
  <c r="O30" i="1732"/>
  <c r="O29" i="1732"/>
  <c r="L23" i="1732"/>
  <c r="H44" i="1732" s="1"/>
  <c r="D23" i="1732"/>
  <c r="H43" i="1732" s="1"/>
  <c r="P22" i="1732"/>
  <c r="O22" i="1732"/>
  <c r="N22" i="1732"/>
  <c r="H22" i="1732"/>
  <c r="G22" i="1732"/>
  <c r="F22" i="1732"/>
  <c r="P21" i="1732"/>
  <c r="O21" i="1732"/>
  <c r="N21" i="1732"/>
  <c r="H21" i="1732"/>
  <c r="G21" i="1732"/>
  <c r="F21" i="1732"/>
  <c r="P20" i="1732"/>
  <c r="O20" i="1732"/>
  <c r="N20" i="1732"/>
  <c r="H20" i="1732"/>
  <c r="G20" i="1732"/>
  <c r="F20" i="1732"/>
  <c r="P19" i="1732"/>
  <c r="O19" i="1732"/>
  <c r="N19" i="1732"/>
  <c r="H19" i="1732"/>
  <c r="G19" i="1732"/>
  <c r="F19" i="1732"/>
  <c r="P18" i="1732"/>
  <c r="O18" i="1732"/>
  <c r="N18" i="1732"/>
  <c r="H18" i="1732"/>
  <c r="G18" i="1732"/>
  <c r="F18" i="1732"/>
  <c r="P17" i="1732"/>
  <c r="O17" i="1732"/>
  <c r="N17" i="1732"/>
  <c r="H17" i="1732"/>
  <c r="G17" i="1732"/>
  <c r="F17" i="1732"/>
  <c r="F44" i="1731"/>
  <c r="F43" i="1731"/>
  <c r="O30" i="1731"/>
  <c r="O29" i="1731"/>
  <c r="L23" i="1731"/>
  <c r="H44" i="1731" s="1"/>
  <c r="D23" i="1731"/>
  <c r="H43" i="1731" s="1"/>
  <c r="P22" i="1731"/>
  <c r="O22" i="1731"/>
  <c r="N22" i="1731"/>
  <c r="H22" i="1731"/>
  <c r="G22" i="1731"/>
  <c r="F22" i="1731"/>
  <c r="P21" i="1731"/>
  <c r="O21" i="1731"/>
  <c r="N21" i="1731"/>
  <c r="H21" i="1731"/>
  <c r="G21" i="1731"/>
  <c r="F21" i="1731"/>
  <c r="P20" i="1731"/>
  <c r="O20" i="1731"/>
  <c r="N20" i="1731"/>
  <c r="H20" i="1731"/>
  <c r="G20" i="1731"/>
  <c r="F20" i="1731"/>
  <c r="P19" i="1731"/>
  <c r="O19" i="1731"/>
  <c r="N19" i="1731"/>
  <c r="H19" i="1731"/>
  <c r="G19" i="1731"/>
  <c r="F19" i="1731"/>
  <c r="P18" i="1731"/>
  <c r="O18" i="1731"/>
  <c r="N18" i="1731"/>
  <c r="H18" i="1731"/>
  <c r="G18" i="1731"/>
  <c r="F18" i="1731"/>
  <c r="H17" i="1731"/>
  <c r="G17" i="1731"/>
  <c r="F17" i="1731"/>
  <c r="F44" i="1730"/>
  <c r="F43" i="1730"/>
  <c r="O30" i="1730"/>
  <c r="O29" i="1730"/>
  <c r="L23" i="1730"/>
  <c r="H44" i="1730" s="1"/>
  <c r="D23" i="1730"/>
  <c r="H43" i="1730" s="1"/>
  <c r="P22" i="1730"/>
  <c r="O22" i="1730"/>
  <c r="N22" i="1730"/>
  <c r="H22" i="1730"/>
  <c r="G22" i="1730"/>
  <c r="F22" i="1730"/>
  <c r="P21" i="1730"/>
  <c r="O21" i="1730"/>
  <c r="N21" i="1730"/>
  <c r="H21" i="1730"/>
  <c r="G21" i="1730"/>
  <c r="F21" i="1730"/>
  <c r="P20" i="1730"/>
  <c r="O20" i="1730"/>
  <c r="N20" i="1730"/>
  <c r="H20" i="1730"/>
  <c r="G20" i="1730"/>
  <c r="F20" i="1730"/>
  <c r="P19" i="1730"/>
  <c r="O19" i="1730"/>
  <c r="N19" i="1730"/>
  <c r="H19" i="1730"/>
  <c r="G19" i="1730"/>
  <c r="F19" i="1730"/>
  <c r="P18" i="1730"/>
  <c r="O18" i="1730"/>
  <c r="N18" i="1730"/>
  <c r="H18" i="1730"/>
  <c r="G18" i="1730"/>
  <c r="F18" i="1730"/>
  <c r="P17" i="1730"/>
  <c r="O17" i="1730"/>
  <c r="N17" i="1730"/>
  <c r="H17" i="1730"/>
  <c r="G17" i="1730"/>
  <c r="F17" i="1730"/>
  <c r="P16" i="1730"/>
  <c r="P23" i="1730" s="1"/>
  <c r="O16" i="1730"/>
  <c r="N16" i="1730"/>
  <c r="P23" i="1756" l="1"/>
  <c r="H23" i="1756"/>
  <c r="H23" i="1733"/>
  <c r="H23" i="1740"/>
  <c r="H23" i="1739"/>
  <c r="P23" i="1736"/>
  <c r="H23" i="1741"/>
  <c r="P23" i="1735"/>
  <c r="H23" i="1737"/>
  <c r="H23" i="1734"/>
  <c r="H23" i="1736"/>
  <c r="H23" i="1742"/>
  <c r="H23" i="1738"/>
  <c r="H23" i="1735"/>
  <c r="N17" i="1741"/>
  <c r="O17" i="1741" s="1"/>
  <c r="P17" i="1741" s="1"/>
  <c r="N16" i="1741"/>
  <c r="O16" i="1741" s="1"/>
  <c r="P16" i="1741" s="1"/>
  <c r="N16" i="1734"/>
  <c r="O16" i="1734" s="1"/>
  <c r="P16" i="1734" s="1"/>
  <c r="P23" i="1734" s="1"/>
  <c r="F16" i="1732"/>
  <c r="G16" i="1732" s="1"/>
  <c r="H16" i="1732" s="1"/>
  <c r="H23" i="1732" s="1"/>
  <c r="F16" i="1731"/>
  <c r="G16" i="1731" s="1"/>
  <c r="H16" i="1731" s="1"/>
  <c r="H23" i="1731" s="1"/>
  <c r="P23" i="1741" l="1"/>
  <c r="E9" i="1730" l="1"/>
  <c r="G9" i="1730"/>
  <c r="F16" i="1730" l="1"/>
  <c r="G16" i="1730" s="1"/>
  <c r="H16" i="1730" s="1"/>
  <c r="H23" i="1730" s="1"/>
  <c r="E29" i="1730"/>
  <c r="F9" i="1730"/>
  <c r="C43" i="1730"/>
  <c r="K43" i="1730" s="1"/>
  <c r="C29" i="1730"/>
  <c r="E10" i="1730"/>
  <c r="G10" i="1730"/>
  <c r="E30" i="1730" s="1"/>
  <c r="C44" i="1730" l="1"/>
  <c r="K44" i="1730" s="1"/>
  <c r="C30" i="1730"/>
  <c r="F10" i="1730"/>
  <c r="M43" i="1730"/>
  <c r="E9" i="1731"/>
  <c r="C36" i="1730"/>
  <c r="G29" i="1730"/>
  <c r="E36" i="1730" s="1"/>
  <c r="G36" i="1730" s="1"/>
  <c r="N43" i="1730" s="1"/>
  <c r="G9" i="1731" s="1"/>
  <c r="E29" i="1731" s="1"/>
  <c r="F9" i="1731" l="1"/>
  <c r="C43" i="1731"/>
  <c r="K43" i="1731" s="1"/>
  <c r="C29" i="1731"/>
  <c r="C37" i="1730"/>
  <c r="G30" i="1730"/>
  <c r="E37" i="1730" s="1"/>
  <c r="G37" i="1730" s="1"/>
  <c r="N44" i="1730" s="1"/>
  <c r="G10" i="1731" s="1"/>
  <c r="M44" i="1730"/>
  <c r="E10" i="1731"/>
  <c r="E30" i="1731" l="1"/>
  <c r="N16" i="1731"/>
  <c r="O16" i="1731" s="1"/>
  <c r="P16" i="1731" s="1"/>
  <c r="N17" i="1731"/>
  <c r="O17" i="1731" s="1"/>
  <c r="P17" i="1731" s="1"/>
  <c r="M43" i="1731"/>
  <c r="E9" i="1732"/>
  <c r="C44" i="1731"/>
  <c r="K44" i="1731" s="1"/>
  <c r="C30" i="1731"/>
  <c r="F10" i="1731"/>
  <c r="G29" i="1731"/>
  <c r="E36" i="1731" s="1"/>
  <c r="C36" i="1731"/>
  <c r="C37" i="1731" l="1"/>
  <c r="G30" i="1731"/>
  <c r="E37" i="1731" s="1"/>
  <c r="G37" i="1731" s="1"/>
  <c r="N44" i="1731" s="1"/>
  <c r="G10" i="1732" s="1"/>
  <c r="M44" i="1731"/>
  <c r="E10" i="1732"/>
  <c r="P23" i="1731"/>
  <c r="C43" i="1732"/>
  <c r="K43" i="1732" s="1"/>
  <c r="C29" i="1732"/>
  <c r="F9" i="1732"/>
  <c r="G36" i="1731"/>
  <c r="N43" i="1731" s="1"/>
  <c r="G9" i="1732" s="1"/>
  <c r="E29" i="1732" s="1"/>
  <c r="C44" i="1732" l="1"/>
  <c r="K44" i="1732" s="1"/>
  <c r="C30" i="1732"/>
  <c r="F10" i="1732"/>
  <c r="M43" i="1732"/>
  <c r="E9" i="1733"/>
  <c r="N16" i="1732"/>
  <c r="O16" i="1732" s="1"/>
  <c r="P16" i="1732" s="1"/>
  <c r="P23" i="1732" s="1"/>
  <c r="E30" i="1732"/>
  <c r="G29" i="1732"/>
  <c r="E36" i="1732" s="1"/>
  <c r="C36" i="1732"/>
  <c r="G36" i="1732" l="1"/>
  <c r="N43" i="1732" s="1"/>
  <c r="G9" i="1733" s="1"/>
  <c r="E29" i="1733" s="1"/>
  <c r="C43" i="1733"/>
  <c r="K43" i="1733" s="1"/>
  <c r="C29" i="1733"/>
  <c r="F9" i="1733"/>
  <c r="C37" i="1732"/>
  <c r="G30" i="1732"/>
  <c r="E37" i="1732" s="1"/>
  <c r="G37" i="1732" s="1"/>
  <c r="N44" i="1732" s="1"/>
  <c r="G10" i="1733" s="1"/>
  <c r="M44" i="1732"/>
  <c r="E10" i="1733"/>
  <c r="E30" i="1733" l="1"/>
  <c r="N16" i="1733"/>
  <c r="O16" i="1733" s="1"/>
  <c r="P16" i="1733" s="1"/>
  <c r="P23" i="1733" s="1"/>
  <c r="G29" i="1733"/>
  <c r="E36" i="1733" s="1"/>
  <c r="C36" i="1733"/>
  <c r="F10" i="1733"/>
  <c r="C44" i="1733"/>
  <c r="K44" i="1733" s="1"/>
  <c r="C30" i="1733"/>
  <c r="M43" i="1733"/>
  <c r="E9" i="1734"/>
  <c r="G36" i="1733" l="1"/>
  <c r="N43" i="1733" s="1"/>
  <c r="G9" i="1734" s="1"/>
  <c r="E29" i="1734" s="1"/>
  <c r="M44" i="1733"/>
  <c r="E10" i="1734"/>
  <c r="C37" i="1733"/>
  <c r="G30" i="1733"/>
  <c r="E37" i="1733" s="1"/>
  <c r="G37" i="1733" s="1"/>
  <c r="N44" i="1733" s="1"/>
  <c r="G10" i="1734" s="1"/>
  <c r="E30" i="1734" s="1"/>
  <c r="C43" i="1734"/>
  <c r="K43" i="1734" s="1"/>
  <c r="C29" i="1734"/>
  <c r="F9" i="1734"/>
  <c r="M43" i="1734" l="1"/>
  <c r="E9" i="1735"/>
  <c r="C36" i="1734"/>
  <c r="G29" i="1734"/>
  <c r="E36" i="1734" s="1"/>
  <c r="G36" i="1734" s="1"/>
  <c r="N43" i="1734" s="1"/>
  <c r="G9" i="1735" s="1"/>
  <c r="E29" i="1735" s="1"/>
  <c r="F10" i="1734"/>
  <c r="C44" i="1734"/>
  <c r="K44" i="1734" s="1"/>
  <c r="C30" i="1734"/>
  <c r="C37" i="1734" l="1"/>
  <c r="G30" i="1734"/>
  <c r="E37" i="1734" s="1"/>
  <c r="G37" i="1734" s="1"/>
  <c r="N44" i="1734" s="1"/>
  <c r="G10" i="1735" s="1"/>
  <c r="E30" i="1735" s="1"/>
  <c r="M44" i="1734"/>
  <c r="E10" i="1735"/>
  <c r="C29" i="1735"/>
  <c r="C43" i="1735"/>
  <c r="K43" i="1735" s="1"/>
  <c r="F9" i="1735"/>
  <c r="G29" i="1735" l="1"/>
  <c r="E36" i="1735" s="1"/>
  <c r="C36" i="1735"/>
  <c r="M43" i="1735"/>
  <c r="E9" i="1736"/>
  <c r="C44" i="1735"/>
  <c r="K44" i="1735" s="1"/>
  <c r="C30" i="1735"/>
  <c r="F10" i="1735"/>
  <c r="G36" i="1735" l="1"/>
  <c r="N43" i="1735" s="1"/>
  <c r="G9" i="1736" s="1"/>
  <c r="E29" i="1736" s="1"/>
  <c r="M44" i="1735"/>
  <c r="E10" i="1736"/>
  <c r="C37" i="1735"/>
  <c r="G30" i="1735"/>
  <c r="E37" i="1735" s="1"/>
  <c r="G37" i="1735" s="1"/>
  <c r="N44" i="1735" s="1"/>
  <c r="G10" i="1736" s="1"/>
  <c r="E30" i="1736" s="1"/>
  <c r="C29" i="1736"/>
  <c r="F9" i="1736"/>
  <c r="C43" i="1736"/>
  <c r="K43" i="1736" s="1"/>
  <c r="C36" i="1736" l="1"/>
  <c r="G29" i="1736"/>
  <c r="E36" i="1736" s="1"/>
  <c r="G36" i="1736" s="1"/>
  <c r="N43" i="1736" s="1"/>
  <c r="G9" i="1737" s="1"/>
  <c r="E29" i="1737" s="1"/>
  <c r="M43" i="1736"/>
  <c r="E9" i="1737"/>
  <c r="C44" i="1736"/>
  <c r="K44" i="1736" s="1"/>
  <c r="C30" i="1736"/>
  <c r="F10" i="1736"/>
  <c r="M44" i="1736" l="1"/>
  <c r="E10" i="1737"/>
  <c r="C37" i="1736"/>
  <c r="G30" i="1736"/>
  <c r="E37" i="1736" s="1"/>
  <c r="G37" i="1736" s="1"/>
  <c r="N44" i="1736" s="1"/>
  <c r="G10" i="1737" s="1"/>
  <c r="C43" i="1737"/>
  <c r="K43" i="1737" s="1"/>
  <c r="C29" i="1737"/>
  <c r="F9" i="1737"/>
  <c r="C36" i="1737" l="1"/>
  <c r="G29" i="1737"/>
  <c r="E36" i="1737" s="1"/>
  <c r="G36" i="1737" s="1"/>
  <c r="N43" i="1737" s="1"/>
  <c r="G9" i="1738" s="1"/>
  <c r="E29" i="1738" s="1"/>
  <c r="M43" i="1737"/>
  <c r="E9" i="1738"/>
  <c r="C44" i="1737"/>
  <c r="K44" i="1737" s="1"/>
  <c r="F10" i="1737"/>
  <c r="C30" i="1737"/>
  <c r="E30" i="1737"/>
  <c r="N16" i="1737"/>
  <c r="O16" i="1737" s="1"/>
  <c r="P16" i="1737" s="1"/>
  <c r="P23" i="1737" s="1"/>
  <c r="C43" i="1738" l="1"/>
  <c r="K43" i="1738" s="1"/>
  <c r="C29" i="1738"/>
  <c r="F9" i="1738"/>
  <c r="C37" i="1737"/>
  <c r="G30" i="1737"/>
  <c r="E37" i="1737" s="1"/>
  <c r="G37" i="1737" s="1"/>
  <c r="N44" i="1737" s="1"/>
  <c r="G10" i="1738" s="1"/>
  <c r="M44" i="1737"/>
  <c r="E10" i="1738"/>
  <c r="N16" i="1738" l="1"/>
  <c r="O16" i="1738" s="1"/>
  <c r="P16" i="1738" s="1"/>
  <c r="P23" i="1738" s="1"/>
  <c r="E30" i="1738"/>
  <c r="F10" i="1738"/>
  <c r="C44" i="1738"/>
  <c r="K44" i="1738" s="1"/>
  <c r="C30" i="1738"/>
  <c r="C36" i="1738"/>
  <c r="G29" i="1738"/>
  <c r="E36" i="1738" s="1"/>
  <c r="G36" i="1738" s="1"/>
  <c r="N43" i="1738" s="1"/>
  <c r="G9" i="1739" s="1"/>
  <c r="E29" i="1739" s="1"/>
  <c r="M43" i="1738"/>
  <c r="E9" i="1739"/>
  <c r="C37" i="1738" l="1"/>
  <c r="G30" i="1738"/>
  <c r="E37" i="1738" s="1"/>
  <c r="G37" i="1738" s="1"/>
  <c r="N44" i="1738" s="1"/>
  <c r="G10" i="1739" s="1"/>
  <c r="M44" i="1738"/>
  <c r="E10" i="1739"/>
  <c r="C43" i="1739"/>
  <c r="K43" i="1739" s="1"/>
  <c r="C29" i="1739"/>
  <c r="F9" i="1739"/>
  <c r="M43" i="1739" l="1"/>
  <c r="E9" i="1740"/>
  <c r="N16" i="1739"/>
  <c r="O16" i="1739" s="1"/>
  <c r="P16" i="1739" s="1"/>
  <c r="P23" i="1739" s="1"/>
  <c r="E30" i="1739"/>
  <c r="G29" i="1739"/>
  <c r="E36" i="1739" s="1"/>
  <c r="C36" i="1739"/>
  <c r="C44" i="1739"/>
  <c r="K44" i="1739" s="1"/>
  <c r="F10" i="1739"/>
  <c r="C30" i="1739"/>
  <c r="G36" i="1739" l="1"/>
  <c r="N43" i="1739" s="1"/>
  <c r="G9" i="1740" s="1"/>
  <c r="E29" i="1740" s="1"/>
  <c r="C43" i="1740"/>
  <c r="K43" i="1740" s="1"/>
  <c r="C29" i="1740"/>
  <c r="F9" i="1740"/>
  <c r="M44" i="1739"/>
  <c r="E10" i="1740"/>
  <c r="C37" i="1739"/>
  <c r="G30" i="1739"/>
  <c r="E37" i="1739" s="1"/>
  <c r="G37" i="1739" s="1"/>
  <c r="N44" i="1739" s="1"/>
  <c r="G10" i="1740" s="1"/>
  <c r="C44" i="1740" l="1"/>
  <c r="K44" i="1740" s="1"/>
  <c r="C30" i="1740"/>
  <c r="F10" i="1740"/>
  <c r="C36" i="1740"/>
  <c r="G29" i="1740"/>
  <c r="E36" i="1740" s="1"/>
  <c r="G36" i="1740" s="1"/>
  <c r="N43" i="1740" s="1"/>
  <c r="G9" i="1741" s="1"/>
  <c r="E29" i="1741" s="1"/>
  <c r="N17" i="1740"/>
  <c r="O17" i="1740" s="1"/>
  <c r="P17" i="1740" s="1"/>
  <c r="N16" i="1740"/>
  <c r="O16" i="1740" s="1"/>
  <c r="P16" i="1740" s="1"/>
  <c r="E30" i="1740"/>
  <c r="M43" i="1740"/>
  <c r="E9" i="1741"/>
  <c r="P23" i="1740" l="1"/>
  <c r="F9" i="1741"/>
  <c r="C43" i="1741"/>
  <c r="K43" i="1741" s="1"/>
  <c r="C29" i="1741"/>
  <c r="C37" i="1740"/>
  <c r="G30" i="1740"/>
  <c r="E37" i="1740" s="1"/>
  <c r="G37" i="1740" s="1"/>
  <c r="N44" i="1740" s="1"/>
  <c r="G10" i="1741" s="1"/>
  <c r="E30" i="1741" s="1"/>
  <c r="M44" i="1740"/>
  <c r="E10" i="1741"/>
  <c r="C44" i="1741" l="1"/>
  <c r="K44" i="1741" s="1"/>
  <c r="C30" i="1741"/>
  <c r="F10" i="1741"/>
  <c r="M43" i="1741"/>
  <c r="E9" i="1742"/>
  <c r="G29" i="1741"/>
  <c r="E36" i="1741" s="1"/>
  <c r="C36" i="1741"/>
  <c r="G36" i="1741" l="1"/>
  <c r="N43" i="1741" s="1"/>
  <c r="G9" i="1742" s="1"/>
  <c r="E29" i="1742" s="1"/>
  <c r="C37" i="1741"/>
  <c r="G30" i="1741"/>
  <c r="E37" i="1741" s="1"/>
  <c r="G37" i="1741" s="1"/>
  <c r="N44" i="1741" s="1"/>
  <c r="G10" i="1742" s="1"/>
  <c r="C43" i="1742"/>
  <c r="K43" i="1742" s="1"/>
  <c r="C29" i="1742"/>
  <c r="F9" i="1742"/>
  <c r="M44" i="1741"/>
  <c r="E10" i="1742"/>
  <c r="M43" i="1742" l="1"/>
  <c r="E9" i="1743"/>
  <c r="C44" i="1742"/>
  <c r="K44" i="1742" s="1"/>
  <c r="C30" i="1742"/>
  <c r="F10" i="1742"/>
  <c r="C36" i="1742"/>
  <c r="G29" i="1742"/>
  <c r="E36" i="1742" s="1"/>
  <c r="G36" i="1742" s="1"/>
  <c r="N43" i="1742" s="1"/>
  <c r="G9" i="1743" s="1"/>
  <c r="E30" i="1742"/>
  <c r="N16" i="1742"/>
  <c r="O16" i="1742" s="1"/>
  <c r="P16" i="1742" s="1"/>
  <c r="P23" i="1742" s="1"/>
  <c r="E29" i="1743" l="1"/>
  <c r="F17" i="1743"/>
  <c r="G17" i="1743" s="1"/>
  <c r="H17" i="1743" s="1"/>
  <c r="F16" i="1743"/>
  <c r="G16" i="1743" s="1"/>
  <c r="H16" i="1743" s="1"/>
  <c r="H23" i="1743" s="1"/>
  <c r="M44" i="1742"/>
  <c r="E10" i="1743"/>
  <c r="C29" i="1743"/>
  <c r="C43" i="1743"/>
  <c r="K43" i="1743" s="1"/>
  <c r="F9" i="1743"/>
  <c r="C37" i="1742"/>
  <c r="G30" i="1742"/>
  <c r="E37" i="1742" s="1"/>
  <c r="G37" i="1742" s="1"/>
  <c r="N44" i="1742" s="1"/>
  <c r="G10" i="1743" s="1"/>
  <c r="M43" i="1743" l="1"/>
  <c r="E9" i="1744"/>
  <c r="G29" i="1743"/>
  <c r="E36" i="1743" s="1"/>
  <c r="C36" i="1743"/>
  <c r="F10" i="1743"/>
  <c r="C30" i="1743"/>
  <c r="C44" i="1743"/>
  <c r="K44" i="1743" s="1"/>
  <c r="E30" i="1743"/>
  <c r="N16" i="1743"/>
  <c r="O16" i="1743" s="1"/>
  <c r="P16" i="1743" s="1"/>
  <c r="P23" i="1743" s="1"/>
  <c r="M44" i="1743" l="1"/>
  <c r="E10" i="1744"/>
  <c r="C43" i="1744"/>
  <c r="K43" i="1744" s="1"/>
  <c r="C29" i="1744"/>
  <c r="C36" i="1744" s="1"/>
  <c r="F9" i="1744"/>
  <c r="G36" i="1743"/>
  <c r="N43" i="1743" s="1"/>
  <c r="G9" i="1744" s="1"/>
  <c r="C37" i="1743"/>
  <c r="G30" i="1743"/>
  <c r="E37" i="1743" l="1"/>
  <c r="G37" i="1743" s="1"/>
  <c r="N44" i="1743" s="1"/>
  <c r="G10" i="1744" s="1"/>
  <c r="E30" i="1744" s="1"/>
  <c r="M43" i="1744"/>
  <c r="E9" i="1745"/>
  <c r="C44" i="1744"/>
  <c r="K44" i="1744" s="1"/>
  <c r="C30" i="1744"/>
  <c r="C37" i="1744" s="1"/>
  <c r="F10" i="1744"/>
  <c r="F16" i="1744"/>
  <c r="G16" i="1744" s="1"/>
  <c r="H16" i="1744" s="1"/>
  <c r="H23" i="1744" s="1"/>
  <c r="E29" i="1744"/>
  <c r="G29" i="1744" s="1"/>
  <c r="E36" i="1744" s="1"/>
  <c r="G36" i="1744" s="1"/>
  <c r="N43" i="1744" s="1"/>
  <c r="G9" i="1745" s="1"/>
  <c r="M44" i="1744" l="1"/>
  <c r="E10" i="1745"/>
  <c r="C29" i="1745"/>
  <c r="C36" i="1745" s="1"/>
  <c r="F9" i="1745"/>
  <c r="C43" i="1745"/>
  <c r="K43" i="1745" s="1"/>
  <c r="G30" i="1744"/>
  <c r="E37" i="1744" s="1"/>
  <c r="G37" i="1744" s="1"/>
  <c r="N44" i="1744" s="1"/>
  <c r="G10" i="1745" s="1"/>
  <c r="E30" i="1745" s="1"/>
  <c r="F16" i="1745"/>
  <c r="G16" i="1745" s="1"/>
  <c r="H16" i="1745" s="1"/>
  <c r="H23" i="1745" s="1"/>
  <c r="E29" i="1745"/>
  <c r="G29" i="1745" s="1"/>
  <c r="E36" i="1745" s="1"/>
  <c r="G36" i="1745" s="1"/>
  <c r="N43" i="1745" s="1"/>
  <c r="G9" i="1746" s="1"/>
  <c r="E29" i="1746" s="1"/>
  <c r="M43" i="1745" l="1"/>
  <c r="E9" i="1746"/>
  <c r="C44" i="1745"/>
  <c r="K44" i="1745" s="1"/>
  <c r="C30" i="1745"/>
  <c r="F10" i="1745"/>
  <c r="C37" i="1745" l="1"/>
  <c r="G30" i="1745"/>
  <c r="E37" i="1745" s="1"/>
  <c r="G37" i="1745" s="1"/>
  <c r="N44" i="1745" s="1"/>
  <c r="G10" i="1746" s="1"/>
  <c r="E30" i="1746" s="1"/>
  <c r="M44" i="1745"/>
  <c r="E10" i="1746"/>
  <c r="C29" i="1746"/>
  <c r="F9" i="1746"/>
  <c r="C43" i="1746"/>
  <c r="K43" i="1746" s="1"/>
  <c r="M43" i="1746" l="1"/>
  <c r="E9" i="1747"/>
  <c r="C36" i="1746"/>
  <c r="G29" i="1746"/>
  <c r="E36" i="1746" s="1"/>
  <c r="G36" i="1746" s="1"/>
  <c r="N43" i="1746" s="1"/>
  <c r="G9" i="1747" s="1"/>
  <c r="E29" i="1747" s="1"/>
  <c r="C44" i="1746"/>
  <c r="K44" i="1746" s="1"/>
  <c r="C30" i="1746"/>
  <c r="C37" i="1746" s="1"/>
  <c r="F10" i="1746"/>
  <c r="G30" i="1746"/>
  <c r="E37" i="1746" s="1"/>
  <c r="G37" i="1746" s="1"/>
  <c r="N44" i="1746" s="1"/>
  <c r="G10" i="1747" s="1"/>
  <c r="E30" i="1747" l="1"/>
  <c r="N16" i="1747"/>
  <c r="O16" i="1747" s="1"/>
  <c r="P16" i="1747" s="1"/>
  <c r="P23" i="1747" s="1"/>
  <c r="M44" i="1746"/>
  <c r="E10" i="1747"/>
  <c r="C43" i="1747"/>
  <c r="K43" i="1747" s="1"/>
  <c r="C29" i="1747"/>
  <c r="F9" i="1747"/>
  <c r="C36" i="1747" l="1"/>
  <c r="G29" i="1747"/>
  <c r="E36" i="1747" s="1"/>
  <c r="G36" i="1747" s="1"/>
  <c r="N43" i="1747" s="1"/>
  <c r="G9" i="1748" s="1"/>
  <c r="M43" i="1747"/>
  <c r="E9" i="1748"/>
  <c r="C44" i="1747"/>
  <c r="K44" i="1747" s="1"/>
  <c r="C30" i="1747"/>
  <c r="C37" i="1747" s="1"/>
  <c r="F10" i="1747"/>
  <c r="G30" i="1747"/>
  <c r="E37" i="1747" s="1"/>
  <c r="G37" i="1747" s="1"/>
  <c r="N44" i="1747" s="1"/>
  <c r="G10" i="1748" s="1"/>
  <c r="E30" i="1748" s="1"/>
  <c r="M44" i="1747" l="1"/>
  <c r="E10" i="1748"/>
  <c r="C43" i="1748"/>
  <c r="K43" i="1748" s="1"/>
  <c r="C29" i="1748"/>
  <c r="C36" i="1748" s="1"/>
  <c r="F9" i="1748"/>
  <c r="F16" i="1748"/>
  <c r="G16" i="1748" s="1"/>
  <c r="H16" i="1748" s="1"/>
  <c r="F17" i="1748"/>
  <c r="G17" i="1748" s="1"/>
  <c r="H17" i="1748" s="1"/>
  <c r="E29" i="1748"/>
  <c r="G29" i="1748" s="1"/>
  <c r="E36" i="1748" s="1"/>
  <c r="G36" i="1748" s="1"/>
  <c r="N43" i="1748" s="1"/>
  <c r="G9" i="1749" s="1"/>
  <c r="E29" i="1749" l="1"/>
  <c r="F17" i="1749"/>
  <c r="G17" i="1749" s="1"/>
  <c r="H17" i="1749" s="1"/>
  <c r="F16" i="1749"/>
  <c r="G16" i="1749" s="1"/>
  <c r="H16" i="1749" s="1"/>
  <c r="H23" i="1749" s="1"/>
  <c r="M43" i="1748"/>
  <c r="E9" i="1749"/>
  <c r="H23" i="1748"/>
  <c r="C44" i="1748"/>
  <c r="K44" i="1748" s="1"/>
  <c r="C30" i="1748"/>
  <c r="F10" i="1748"/>
  <c r="M44" i="1748" l="1"/>
  <c r="E10" i="1749"/>
  <c r="C43" i="1749"/>
  <c r="K43" i="1749" s="1"/>
  <c r="C29" i="1749"/>
  <c r="F9" i="1749"/>
  <c r="C37" i="1748"/>
  <c r="G30" i="1748"/>
  <c r="E37" i="1748" s="1"/>
  <c r="G37" i="1748" s="1"/>
  <c r="N44" i="1748" s="1"/>
  <c r="G10" i="1749" s="1"/>
  <c r="E30" i="1749" s="1"/>
  <c r="C36" i="1749" l="1"/>
  <c r="G29" i="1749"/>
  <c r="E36" i="1749" s="1"/>
  <c r="G36" i="1749" s="1"/>
  <c r="N43" i="1749" s="1"/>
  <c r="G9" i="1750" s="1"/>
  <c r="M43" i="1749"/>
  <c r="E9" i="1750"/>
  <c r="C44" i="1749"/>
  <c r="K44" i="1749" s="1"/>
  <c r="C30" i="1749"/>
  <c r="F10" i="1749"/>
  <c r="C37" i="1749" l="1"/>
  <c r="G30" i="1749"/>
  <c r="E37" i="1749" s="1"/>
  <c r="G37" i="1749" s="1"/>
  <c r="N44" i="1749" s="1"/>
  <c r="G10" i="1750" s="1"/>
  <c r="M44" i="1749"/>
  <c r="E10" i="1750"/>
  <c r="C43" i="1750"/>
  <c r="K43" i="1750" s="1"/>
  <c r="C29" i="1750"/>
  <c r="F9" i="1750"/>
  <c r="E29" i="1750"/>
  <c r="F16" i="1750"/>
  <c r="G16" i="1750" s="1"/>
  <c r="H16" i="1750" s="1"/>
  <c r="H23" i="1750" s="1"/>
  <c r="C36" i="1750" l="1"/>
  <c r="G29" i="1750"/>
  <c r="E36" i="1750" s="1"/>
  <c r="G36" i="1750" s="1"/>
  <c r="N43" i="1750" s="1"/>
  <c r="G9" i="1761" s="1"/>
  <c r="E29" i="1761" s="1"/>
  <c r="E9" i="1761"/>
  <c r="M43" i="1750"/>
  <c r="C44" i="1750"/>
  <c r="K44" i="1750" s="1"/>
  <c r="C30" i="1750"/>
  <c r="F10" i="1750"/>
  <c r="N16" i="1750"/>
  <c r="O16" i="1750" s="1"/>
  <c r="P16" i="1750" s="1"/>
  <c r="P23" i="1750" s="1"/>
  <c r="E30" i="1750"/>
  <c r="C37" i="1750" l="1"/>
  <c r="G30" i="1750"/>
  <c r="E37" i="1750" s="1"/>
  <c r="G37" i="1750" s="1"/>
  <c r="N44" i="1750" s="1"/>
  <c r="G10" i="1761" s="1"/>
  <c r="E30" i="1761" s="1"/>
  <c r="M44" i="1750"/>
  <c r="E10" i="1761"/>
  <c r="F9" i="1761"/>
  <c r="C29" i="1761"/>
  <c r="C43" i="1761"/>
  <c r="K43" i="1761" s="1"/>
  <c r="M43" i="1761" l="1"/>
  <c r="E9" i="1751"/>
  <c r="C36" i="1761"/>
  <c r="G29" i="1761"/>
  <c r="E36" i="1761" s="1"/>
  <c r="G36" i="1761" s="1"/>
  <c r="N43" i="1761" s="1"/>
  <c r="G9" i="1751" s="1"/>
  <c r="C44" i="1761"/>
  <c r="K44" i="1761" s="1"/>
  <c r="F10" i="1761"/>
  <c r="C30" i="1761"/>
  <c r="C37" i="1761" l="1"/>
  <c r="G30" i="1761"/>
  <c r="E37" i="1761" s="1"/>
  <c r="G37" i="1761" s="1"/>
  <c r="N44" i="1761" s="1"/>
  <c r="G10" i="1751" s="1"/>
  <c r="M44" i="1761"/>
  <c r="E10" i="1751"/>
  <c r="E29" i="1751"/>
  <c r="F16" i="1751"/>
  <c r="G16" i="1751" s="1"/>
  <c r="H16" i="1751" s="1"/>
  <c r="H23" i="1751" s="1"/>
  <c r="C43" i="1751"/>
  <c r="K43" i="1751" s="1"/>
  <c r="C29" i="1751"/>
  <c r="F9" i="1751"/>
  <c r="C36" i="1751" l="1"/>
  <c r="G29" i="1751"/>
  <c r="E36" i="1751" s="1"/>
  <c r="G36" i="1751" s="1"/>
  <c r="N43" i="1751" s="1"/>
  <c r="E9" i="1762"/>
  <c r="M43" i="1751"/>
  <c r="C44" i="1751"/>
  <c r="K44" i="1751" s="1"/>
  <c r="C30" i="1751"/>
  <c r="F10" i="1751"/>
  <c r="E30" i="1751"/>
  <c r="N16" i="1751"/>
  <c r="O16" i="1751" s="1"/>
  <c r="P16" i="1751" s="1"/>
  <c r="P23" i="1751" s="1"/>
  <c r="C37" i="1751" l="1"/>
  <c r="G30" i="1751"/>
  <c r="E37" i="1751" s="1"/>
  <c r="G37" i="1751" s="1"/>
  <c r="N44" i="1751" s="1"/>
  <c r="E10" i="1762"/>
  <c r="M44" i="1751"/>
  <c r="F9" i="1762"/>
  <c r="C29" i="1762"/>
  <c r="C43" i="1762"/>
  <c r="K43" i="1762" s="1"/>
  <c r="G9" i="1762"/>
  <c r="E29" i="1762" s="1"/>
  <c r="M43" i="1762" l="1"/>
  <c r="E9" i="1752"/>
  <c r="C36" i="1762"/>
  <c r="G29" i="1762"/>
  <c r="E36" i="1762" s="1"/>
  <c r="G36" i="1762" s="1"/>
  <c r="N43" i="1762" s="1"/>
  <c r="G9" i="1752" s="1"/>
  <c r="E29" i="1752" s="1"/>
  <c r="C44" i="1762"/>
  <c r="K44" i="1762" s="1"/>
  <c r="F10" i="1762"/>
  <c r="C30" i="1762"/>
  <c r="G10" i="1762"/>
  <c r="E30" i="1762" s="1"/>
  <c r="C37" i="1762" l="1"/>
  <c r="G30" i="1762"/>
  <c r="E37" i="1762" s="1"/>
  <c r="G37" i="1762" s="1"/>
  <c r="N44" i="1762" s="1"/>
  <c r="G10" i="1752" s="1"/>
  <c r="E30" i="1752" s="1"/>
  <c r="M44" i="1762"/>
  <c r="E10" i="1752"/>
  <c r="F9" i="1752"/>
  <c r="C43" i="1752"/>
  <c r="K43" i="1752" s="1"/>
  <c r="C29" i="1752"/>
  <c r="C36" i="1752" l="1"/>
  <c r="G29" i="1752"/>
  <c r="E36" i="1752" s="1"/>
  <c r="G36" i="1752" s="1"/>
  <c r="N43" i="1752" s="1"/>
  <c r="G9" i="1763" s="1"/>
  <c r="E29" i="1763" s="1"/>
  <c r="E9" i="1763"/>
  <c r="M43" i="1752"/>
  <c r="C44" i="1752"/>
  <c r="K44" i="1752" s="1"/>
  <c r="C30" i="1752"/>
  <c r="F10" i="1752"/>
  <c r="C37" i="1752" l="1"/>
  <c r="G30" i="1752"/>
  <c r="E37" i="1752" s="1"/>
  <c r="G37" i="1752" s="1"/>
  <c r="N44" i="1752" s="1"/>
  <c r="G10" i="1763" s="1"/>
  <c r="E30" i="1763" s="1"/>
  <c r="E10" i="1763"/>
  <c r="M44" i="1752"/>
  <c r="F9" i="1763"/>
  <c r="C29" i="1763"/>
  <c r="C36" i="1763" s="1"/>
  <c r="C43" i="1763"/>
  <c r="K43" i="1763" s="1"/>
  <c r="G29" i="1763"/>
  <c r="E36" i="1763" s="1"/>
  <c r="G36" i="1763" s="1"/>
  <c r="N43" i="1763" s="1"/>
  <c r="G9" i="1753" s="1"/>
  <c r="E29" i="1753" s="1"/>
  <c r="M43" i="1763" l="1"/>
  <c r="E9" i="1753"/>
  <c r="C44" i="1763"/>
  <c r="K44" i="1763" s="1"/>
  <c r="C30" i="1763"/>
  <c r="F10" i="1763"/>
  <c r="C37" i="1763" l="1"/>
  <c r="G30" i="1763"/>
  <c r="E37" i="1763" s="1"/>
  <c r="G37" i="1763" s="1"/>
  <c r="N44" i="1763" s="1"/>
  <c r="G10" i="1753" s="1"/>
  <c r="E30" i="1753" s="1"/>
  <c r="M44" i="1763"/>
  <c r="E10" i="1753"/>
  <c r="C43" i="1753"/>
  <c r="K43" i="1753" s="1"/>
  <c r="C29" i="1753"/>
  <c r="F9" i="1753"/>
  <c r="C36" i="1753" l="1"/>
  <c r="G29" i="1753"/>
  <c r="E36" i="1753" s="1"/>
  <c r="G36" i="1753" s="1"/>
  <c r="N43" i="1753" s="1"/>
  <c r="G9" i="1754" s="1"/>
  <c r="E29" i="1754" s="1"/>
  <c r="M43" i="1753"/>
  <c r="E9" i="1754"/>
  <c r="C44" i="1753"/>
  <c r="K44" i="1753" s="1"/>
  <c r="C30" i="1753"/>
  <c r="F10" i="1753"/>
  <c r="C37" i="1753" l="1"/>
  <c r="G30" i="1753"/>
  <c r="E37" i="1753" s="1"/>
  <c r="G37" i="1753" s="1"/>
  <c r="N44" i="1753" s="1"/>
  <c r="G10" i="1754" s="1"/>
  <c r="M44" i="1753"/>
  <c r="E10" i="1754"/>
  <c r="C29" i="1754"/>
  <c r="F9" i="1754"/>
  <c r="C43" i="1754"/>
  <c r="K43" i="1754" s="1"/>
  <c r="M43" i="1754" l="1"/>
  <c r="E9" i="1755"/>
  <c r="C36" i="1754"/>
  <c r="G29" i="1754"/>
  <c r="E36" i="1754" s="1"/>
  <c r="G36" i="1754" s="1"/>
  <c r="N43" i="1754" s="1"/>
  <c r="G9" i="1755" s="1"/>
  <c r="C44" i="1754"/>
  <c r="K44" i="1754" s="1"/>
  <c r="C30" i="1754"/>
  <c r="F10" i="1754"/>
  <c r="N16" i="1754"/>
  <c r="O16" i="1754" s="1"/>
  <c r="P16" i="1754" s="1"/>
  <c r="P23" i="1754" s="1"/>
  <c r="E30" i="1754"/>
  <c r="C37" i="1754" l="1"/>
  <c r="G30" i="1754"/>
  <c r="E37" i="1754" s="1"/>
  <c r="G37" i="1754" s="1"/>
  <c r="N44" i="1754" s="1"/>
  <c r="G10" i="1755" s="1"/>
  <c r="M44" i="1754"/>
  <c r="E10" i="1755"/>
  <c r="F16" i="1755"/>
  <c r="G16" i="1755" s="1"/>
  <c r="H16" i="1755" s="1"/>
  <c r="F17" i="1755"/>
  <c r="G17" i="1755" s="1"/>
  <c r="H17" i="1755" s="1"/>
  <c r="F18" i="1755"/>
  <c r="G18" i="1755" s="1"/>
  <c r="H18" i="1755" s="1"/>
  <c r="E29" i="1755"/>
  <c r="C29" i="1755"/>
  <c r="F9" i="1755"/>
  <c r="C43" i="1755"/>
  <c r="K43" i="1755" s="1"/>
  <c r="M43" i="1755" l="1"/>
  <c r="E9" i="1756"/>
  <c r="C36" i="1755"/>
  <c r="G29" i="1755"/>
  <c r="E36" i="1755" s="1"/>
  <c r="G36" i="1755" s="1"/>
  <c r="N43" i="1755" s="1"/>
  <c r="G9" i="1756" s="1"/>
  <c r="E29" i="1756" s="1"/>
  <c r="H23" i="1755"/>
  <c r="C44" i="1755"/>
  <c r="K44" i="1755" s="1"/>
  <c r="C30" i="1755"/>
  <c r="F10" i="1755"/>
  <c r="N17" i="1755"/>
  <c r="O17" i="1755" s="1"/>
  <c r="P17" i="1755" s="1"/>
  <c r="E30" i="1755"/>
  <c r="N16" i="1755"/>
  <c r="O16" i="1755" s="1"/>
  <c r="P16" i="1755" s="1"/>
  <c r="P23" i="1755" s="1"/>
  <c r="C37" i="1755" l="1"/>
  <c r="G30" i="1755"/>
  <c r="E37" i="1755" s="1"/>
  <c r="G37" i="1755" s="1"/>
  <c r="N44" i="1755" s="1"/>
  <c r="G10" i="1756" s="1"/>
  <c r="E30" i="1756" s="1"/>
  <c r="M44" i="1755"/>
  <c r="E10" i="1756"/>
  <c r="C29" i="1756"/>
  <c r="F9" i="1756"/>
  <c r="C43" i="1756"/>
  <c r="K43" i="1756" s="1"/>
  <c r="M43" i="1756" l="1"/>
  <c r="E9" i="1757"/>
  <c r="C36" i="1756"/>
  <c r="G29" i="1756"/>
  <c r="E36" i="1756" s="1"/>
  <c r="G36" i="1756" s="1"/>
  <c r="N43" i="1756" s="1"/>
  <c r="G9" i="1757" s="1"/>
  <c r="C44" i="1756"/>
  <c r="K44" i="1756" s="1"/>
  <c r="C30" i="1756"/>
  <c r="F10" i="1756"/>
  <c r="C37" i="1756" l="1"/>
  <c r="G30" i="1756"/>
  <c r="E37" i="1756" s="1"/>
  <c r="G37" i="1756" s="1"/>
  <c r="N44" i="1756" s="1"/>
  <c r="G10" i="1757" s="1"/>
  <c r="M44" i="1756"/>
  <c r="E10" i="1757"/>
  <c r="F16" i="1757"/>
  <c r="G16" i="1757" s="1"/>
  <c r="H16" i="1757" s="1"/>
  <c r="H23" i="1757" s="1"/>
  <c r="E29" i="1757"/>
  <c r="C43" i="1757"/>
  <c r="K43" i="1757" s="1"/>
  <c r="C29" i="1757"/>
  <c r="F9" i="1757"/>
  <c r="C36" i="1757" l="1"/>
  <c r="G29" i="1757"/>
  <c r="E36" i="1757" s="1"/>
  <c r="G36" i="1757" s="1"/>
  <c r="N43" i="1757" s="1"/>
  <c r="G9" i="1765" s="1"/>
  <c r="E29" i="1765" s="1"/>
  <c r="E9" i="1765"/>
  <c r="M43" i="1757"/>
  <c r="F10" i="1757"/>
  <c r="C44" i="1757"/>
  <c r="K44" i="1757" s="1"/>
  <c r="C30" i="1757"/>
  <c r="E30" i="1757"/>
  <c r="N16" i="1757"/>
  <c r="O16" i="1757" s="1"/>
  <c r="P16" i="1757" s="1"/>
  <c r="P23" i="1757" s="1"/>
  <c r="C37" i="1757" l="1"/>
  <c r="G30" i="1757"/>
  <c r="E37" i="1757" s="1"/>
  <c r="G37" i="1757" s="1"/>
  <c r="N44" i="1757" s="1"/>
  <c r="G10" i="1765" s="1"/>
  <c r="E30" i="1765" s="1"/>
  <c r="E10" i="1765"/>
  <c r="M44" i="1757"/>
  <c r="F9" i="1765"/>
  <c r="C29" i="1765"/>
  <c r="C36" i="1765" s="1"/>
  <c r="C43" i="1765"/>
  <c r="K43" i="1765" s="1"/>
  <c r="G29" i="1765"/>
  <c r="E36" i="1765" s="1"/>
  <c r="G36" i="1765" s="1"/>
  <c r="N43" i="1765" s="1"/>
  <c r="G9" i="1758" s="1"/>
  <c r="E29" i="1758" s="1"/>
  <c r="M43" i="1765" l="1"/>
  <c r="E9" i="1758"/>
  <c r="C44" i="1765"/>
  <c r="K44" i="1765" s="1"/>
  <c r="F10" i="1765"/>
  <c r="C30" i="1765"/>
  <c r="C37" i="1765" s="1"/>
  <c r="G30" i="1765"/>
  <c r="E37" i="1765" s="1"/>
  <c r="G37" i="1765" s="1"/>
  <c r="N44" i="1765" s="1"/>
  <c r="G10" i="1758" s="1"/>
  <c r="E30" i="1758" s="1"/>
  <c r="M44" i="1765" l="1"/>
  <c r="E10" i="1758"/>
  <c r="C43" i="1758"/>
  <c r="K43" i="1758" s="1"/>
  <c r="C29" i="1758"/>
  <c r="F9" i="1758"/>
  <c r="C36" i="1758" l="1"/>
  <c r="G29" i="1758"/>
  <c r="E9" i="1766"/>
  <c r="M43" i="1758"/>
  <c r="C44" i="1758"/>
  <c r="K44" i="1758" s="1"/>
  <c r="C30" i="1758"/>
  <c r="F10" i="1758"/>
  <c r="E36" i="1758" l="1"/>
  <c r="G36" i="1758" s="1"/>
  <c r="N43" i="1758" s="1"/>
  <c r="G9" i="1766" s="1"/>
  <c r="E29" i="1766" s="1"/>
  <c r="C37" i="1758"/>
  <c r="G30" i="1758"/>
  <c r="E10" i="1766"/>
  <c r="M44" i="1758"/>
  <c r="F9" i="1766"/>
  <c r="C43" i="1766"/>
  <c r="K43" i="1766" s="1"/>
  <c r="C29" i="1766"/>
  <c r="E37" i="1758" l="1"/>
  <c r="G37" i="1758" s="1"/>
  <c r="N44" i="1758" s="1"/>
  <c r="G10" i="1766" s="1"/>
  <c r="E30" i="1766" s="1"/>
  <c r="C36" i="1766"/>
  <c r="G29" i="1766"/>
  <c r="E36" i="1766" s="1"/>
  <c r="G36" i="1766" s="1"/>
  <c r="N43" i="1766" s="1"/>
  <c r="G9" i="1767" s="1"/>
  <c r="M43" i="1766"/>
  <c r="E9" i="1767"/>
  <c r="C44" i="1766"/>
  <c r="K44" i="1766" s="1"/>
  <c r="F10" i="1766"/>
  <c r="C30" i="1766"/>
  <c r="C37" i="1766" l="1"/>
  <c r="G30" i="1766"/>
  <c r="E37" i="1766" s="1"/>
  <c r="G37" i="1766" s="1"/>
  <c r="N44" i="1766" s="1"/>
  <c r="G10" i="1767" s="1"/>
  <c r="M44" i="1766"/>
  <c r="E10" i="1767"/>
  <c r="F9" i="1767"/>
  <c r="C43" i="1767"/>
  <c r="K43" i="1767" s="1"/>
  <c r="C29" i="1767"/>
  <c r="F17" i="1767"/>
  <c r="G17" i="1767" s="1"/>
  <c r="H17" i="1767" s="1"/>
  <c r="F16" i="1767"/>
  <c r="G16" i="1767" s="1"/>
  <c r="H16" i="1767" s="1"/>
  <c r="H23" i="1767" s="1"/>
  <c r="E29" i="1767"/>
  <c r="M43" i="1767" l="1"/>
  <c r="E9" i="1768"/>
  <c r="C36" i="1767"/>
  <c r="G29" i="1767"/>
  <c r="E36" i="1767" s="1"/>
  <c r="G36" i="1767" s="1"/>
  <c r="N43" i="1767" s="1"/>
  <c r="G9" i="1768" s="1"/>
  <c r="C44" i="1767"/>
  <c r="K44" i="1767" s="1"/>
  <c r="F10" i="1767"/>
  <c r="C30" i="1767"/>
  <c r="N16" i="1767"/>
  <c r="O16" i="1767" s="1"/>
  <c r="P16" i="1767" s="1"/>
  <c r="P23" i="1767" s="1"/>
  <c r="E30" i="1767"/>
  <c r="M44" i="1767" l="1"/>
  <c r="E10" i="1768"/>
  <c r="C43" i="1768"/>
  <c r="K43" i="1768" s="1"/>
  <c r="C29" i="1768"/>
  <c r="C36" i="1768" s="1"/>
  <c r="F9" i="1768"/>
  <c r="F18" i="1768"/>
  <c r="G18" i="1768" s="1"/>
  <c r="H18" i="1768" s="1"/>
  <c r="E29" i="1768"/>
  <c r="G29" i="1768" s="1"/>
  <c r="E36" i="1768" s="1"/>
  <c r="G36" i="1768" s="1"/>
  <c r="N43" i="1768" s="1"/>
  <c r="G9" i="1769" s="1"/>
  <c r="E29" i="1769" s="1"/>
  <c r="F17" i="1768"/>
  <c r="G17" i="1768" s="1"/>
  <c r="H17" i="1768" s="1"/>
  <c r="F16" i="1768"/>
  <c r="G16" i="1768" s="1"/>
  <c r="H16" i="1768" s="1"/>
  <c r="C37" i="1767"/>
  <c r="G30" i="1767"/>
  <c r="E37" i="1767" s="1"/>
  <c r="G37" i="1767" s="1"/>
  <c r="N44" i="1767" s="1"/>
  <c r="G10" i="1768" s="1"/>
  <c r="M43" i="1768" l="1"/>
  <c r="E9" i="1769"/>
  <c r="C44" i="1768"/>
  <c r="K44" i="1768" s="1"/>
  <c r="C30" i="1768"/>
  <c r="C37" i="1768" s="1"/>
  <c r="F10" i="1768"/>
  <c r="H23" i="1768"/>
  <c r="E30" i="1768"/>
  <c r="G30" i="1768" s="1"/>
  <c r="E37" i="1768" s="1"/>
  <c r="G37" i="1768" s="1"/>
  <c r="N44" i="1768" s="1"/>
  <c r="G10" i="1769" s="1"/>
  <c r="E30" i="1769" s="1"/>
  <c r="N16" i="1768"/>
  <c r="O16" i="1768" s="1"/>
  <c r="P16" i="1768" s="1"/>
  <c r="P23" i="1768" s="1"/>
  <c r="F16" i="1782"/>
  <c r="G16" i="1782"/>
  <c r="H16" i="1782"/>
  <c r="H23" i="1782" s="1"/>
  <c r="M44" i="1768" l="1"/>
  <c r="E10" i="1769"/>
  <c r="C43" i="1769"/>
  <c r="K43" i="1769" s="1"/>
  <c r="C29" i="1769"/>
  <c r="F9" i="1769"/>
  <c r="C36" i="1769" l="1"/>
  <c r="G29" i="1769"/>
  <c r="E36" i="1769" s="1"/>
  <c r="G36" i="1769" s="1"/>
  <c r="N43" i="1769" s="1"/>
  <c r="G9" i="1770" s="1"/>
  <c r="E29" i="1770" s="1"/>
  <c r="M43" i="1769"/>
  <c r="E9" i="1770"/>
  <c r="C44" i="1769"/>
  <c r="K44" i="1769" s="1"/>
  <c r="C30" i="1769"/>
  <c r="F10" i="1769"/>
  <c r="C37" i="1769" l="1"/>
  <c r="G30" i="1769"/>
  <c r="E37" i="1769" s="1"/>
  <c r="G37" i="1769" s="1"/>
  <c r="N44" i="1769" s="1"/>
  <c r="G10" i="1770" s="1"/>
  <c r="E30" i="1770" s="1"/>
  <c r="M44" i="1769"/>
  <c r="E10" i="1770"/>
  <c r="C43" i="1770"/>
  <c r="K43" i="1770" s="1"/>
  <c r="C29" i="1770"/>
  <c r="C36" i="1770" s="1"/>
  <c r="F9" i="1770"/>
  <c r="G29" i="1770"/>
  <c r="E36" i="1770" s="1"/>
  <c r="G36" i="1770" s="1"/>
  <c r="N43" i="1770" s="1"/>
  <c r="G9" i="1771" s="1"/>
  <c r="E29" i="1771" s="1"/>
  <c r="M43" i="1770" l="1"/>
  <c r="E9" i="1771"/>
  <c r="C44" i="1770"/>
  <c r="K44" i="1770" s="1"/>
  <c r="C30" i="1770"/>
  <c r="C37" i="1770" s="1"/>
  <c r="F10" i="1770"/>
  <c r="G30" i="1770"/>
  <c r="E37" i="1770" s="1"/>
  <c r="G37" i="1770" s="1"/>
  <c r="N44" i="1770" s="1"/>
  <c r="G10" i="1771" s="1"/>
  <c r="E30" i="1771" s="1"/>
  <c r="M44" i="1770" l="1"/>
  <c r="E10" i="1771"/>
  <c r="C43" i="1771"/>
  <c r="K43" i="1771" s="1"/>
  <c r="C29" i="1771"/>
  <c r="F9" i="1771"/>
  <c r="C36" i="1771" l="1"/>
  <c r="G29" i="1771"/>
  <c r="E36" i="1771" s="1"/>
  <c r="G36" i="1771" s="1"/>
  <c r="N43" i="1771" s="1"/>
  <c r="G9" i="1772" s="1"/>
  <c r="E29" i="1772" s="1"/>
  <c r="M43" i="1771"/>
  <c r="E9" i="1772"/>
  <c r="C44" i="1771"/>
  <c r="K44" i="1771" s="1"/>
  <c r="C30" i="1771"/>
  <c r="F10" i="1771"/>
  <c r="C37" i="1771" l="1"/>
  <c r="G30" i="1771"/>
  <c r="E37" i="1771" s="1"/>
  <c r="G37" i="1771" s="1"/>
  <c r="N44" i="1771" s="1"/>
  <c r="G10" i="1772" s="1"/>
  <c r="E30" i="1772" s="1"/>
  <c r="M44" i="1771"/>
  <c r="E10" i="1772"/>
  <c r="C43" i="1772"/>
  <c r="K43" i="1772" s="1"/>
  <c r="C29" i="1772"/>
  <c r="C36" i="1772" s="1"/>
  <c r="F9" i="1772"/>
  <c r="G29" i="1772"/>
  <c r="E36" i="1772" s="1"/>
  <c r="G36" i="1772" s="1"/>
  <c r="N43" i="1772" s="1"/>
  <c r="G9" i="1773" s="1"/>
  <c r="F16" i="1773" l="1"/>
  <c r="G16" i="1773" s="1"/>
  <c r="H16" i="1773" s="1"/>
  <c r="H23" i="1773" s="1"/>
  <c r="E29" i="1773"/>
  <c r="M43" i="1772"/>
  <c r="E9" i="1773"/>
  <c r="C44" i="1772"/>
  <c r="K44" i="1772" s="1"/>
  <c r="C30" i="1772"/>
  <c r="C37" i="1772" s="1"/>
  <c r="F10" i="1772"/>
  <c r="G30" i="1772"/>
  <c r="E37" i="1772" s="1"/>
  <c r="G37" i="1772" s="1"/>
  <c r="N44" i="1772" s="1"/>
  <c r="G10" i="1773" s="1"/>
  <c r="E30" i="1773" l="1"/>
  <c r="N16" i="1773"/>
  <c r="O16" i="1773" s="1"/>
  <c r="P16" i="1773" s="1"/>
  <c r="P23" i="1773" s="1"/>
  <c r="M44" i="1772"/>
  <c r="E10" i="1773"/>
  <c r="C43" i="1773"/>
  <c r="K43" i="1773" s="1"/>
  <c r="C29" i="1773"/>
  <c r="C36" i="1773" s="1"/>
  <c r="F9" i="1773"/>
  <c r="G29" i="1773"/>
  <c r="E36" i="1773" s="1"/>
  <c r="G36" i="1773" s="1"/>
  <c r="N43" i="1773" s="1"/>
  <c r="G9" i="1774" s="1"/>
  <c r="E29" i="1774" s="1"/>
  <c r="M43" i="1773" l="1"/>
  <c r="E9" i="1774"/>
  <c r="C44" i="1773"/>
  <c r="K44" i="1773" s="1"/>
  <c r="C30" i="1773"/>
  <c r="C37" i="1773" s="1"/>
  <c r="F10" i="1773"/>
  <c r="G30" i="1773"/>
  <c r="E37" i="1773" s="1"/>
  <c r="G37" i="1773" s="1"/>
  <c r="N44" i="1773" s="1"/>
  <c r="G10" i="1774" s="1"/>
  <c r="E30" i="1774" s="1"/>
  <c r="M44" i="1773" l="1"/>
  <c r="E10" i="1774"/>
  <c r="C43" i="1774"/>
  <c r="K43" i="1774" s="1"/>
  <c r="C29" i="1774"/>
  <c r="F9" i="1774"/>
  <c r="C36" i="1774" l="1"/>
  <c r="G29" i="1774"/>
  <c r="E36" i="1774" s="1"/>
  <c r="G36" i="1774" s="1"/>
  <c r="N43" i="1774" s="1"/>
  <c r="G9" i="1775" s="1"/>
  <c r="E29" i="1775" s="1"/>
  <c r="M43" i="1774"/>
  <c r="E9" i="1775"/>
  <c r="C44" i="1774"/>
  <c r="K44" i="1774" s="1"/>
  <c r="C30" i="1774"/>
  <c r="F10" i="1774"/>
  <c r="C37" i="1774" l="1"/>
  <c r="G30" i="1774"/>
  <c r="E37" i="1774" s="1"/>
  <c r="G37" i="1774" s="1"/>
  <c r="N44" i="1774" s="1"/>
  <c r="G10" i="1775" s="1"/>
  <c r="M44" i="1774"/>
  <c r="E10" i="1775"/>
  <c r="C43" i="1775"/>
  <c r="K43" i="1775" s="1"/>
  <c r="C29" i="1775"/>
  <c r="C36" i="1775" s="1"/>
  <c r="F9" i="1775"/>
  <c r="G29" i="1775"/>
  <c r="E36" i="1775" s="1"/>
  <c r="G36" i="1775" s="1"/>
  <c r="N43" i="1775" s="1"/>
  <c r="G9" i="1794" s="1"/>
  <c r="E29" i="1794" s="1"/>
  <c r="M43" i="1775" l="1"/>
  <c r="E9" i="1794"/>
  <c r="C44" i="1775"/>
  <c r="K44" i="1775" s="1"/>
  <c r="C30" i="1775"/>
  <c r="C37" i="1775" s="1"/>
  <c r="F10" i="1775"/>
  <c r="E30" i="1775"/>
  <c r="G30" i="1775" s="1"/>
  <c r="E37" i="1775" s="1"/>
  <c r="G37" i="1775" s="1"/>
  <c r="N44" i="1775" s="1"/>
  <c r="G10" i="1794" s="1"/>
  <c r="E30" i="1794" s="1"/>
  <c r="N16" i="1775"/>
  <c r="O16" i="1775" s="1"/>
  <c r="P16" i="1775" s="1"/>
  <c r="P23" i="1775" s="1"/>
  <c r="M44" i="1775" l="1"/>
  <c r="E10" i="1794"/>
  <c r="C43" i="1794"/>
  <c r="K43" i="1794" s="1"/>
  <c r="C29" i="1794"/>
  <c r="F9" i="1794"/>
  <c r="C36" i="1794" l="1"/>
  <c r="G29" i="1794"/>
  <c r="E36" i="1794" s="1"/>
  <c r="G36" i="1794" s="1"/>
  <c r="N43" i="1794" s="1"/>
  <c r="G9" i="1779" s="1"/>
  <c r="M43" i="1794"/>
  <c r="E9" i="1779"/>
  <c r="C44" i="1794"/>
  <c r="K44" i="1794" s="1"/>
  <c r="C30" i="1794"/>
  <c r="F10" i="1794"/>
  <c r="C37" i="1794" l="1"/>
  <c r="G30" i="1794"/>
  <c r="E37" i="1794" s="1"/>
  <c r="G37" i="1794" s="1"/>
  <c r="N44" i="1794" s="1"/>
  <c r="G10" i="1779" s="1"/>
  <c r="E30" i="1779" s="1"/>
  <c r="M44" i="1794"/>
  <c r="E10" i="1779"/>
  <c r="F9" i="1779"/>
  <c r="C43" i="1779"/>
  <c r="K43" i="1779" s="1"/>
  <c r="C29" i="1779"/>
  <c r="C36" i="1779" s="1"/>
  <c r="E29" i="1779"/>
  <c r="G29" i="1779" s="1"/>
  <c r="E36" i="1779" s="1"/>
  <c r="G36" i="1779" s="1"/>
  <c r="N43" i="1779" s="1"/>
  <c r="G9" i="1780" s="1"/>
  <c r="E29" i="1780" s="1"/>
  <c r="F16" i="1779"/>
  <c r="G16" i="1779" s="1"/>
  <c r="H16" i="1779" s="1"/>
  <c r="H23" i="1779" s="1"/>
  <c r="M43" i="1779" l="1"/>
  <c r="E9" i="1780"/>
  <c r="F10" i="1779"/>
  <c r="C44" i="1779"/>
  <c r="K44" i="1779" s="1"/>
  <c r="C30" i="1779"/>
  <c r="C37" i="1779" s="1"/>
  <c r="G30" i="1779"/>
  <c r="E37" i="1779" s="1"/>
  <c r="G37" i="1779" s="1"/>
  <c r="N44" i="1779" s="1"/>
  <c r="G10" i="1780" s="1"/>
  <c r="E30" i="1780" s="1"/>
  <c r="M44" i="1779" l="1"/>
  <c r="E10" i="1780"/>
  <c r="C43" i="1780"/>
  <c r="K43" i="1780" s="1"/>
  <c r="C29" i="1780"/>
  <c r="F9" i="1780"/>
  <c r="C36" i="1780" l="1"/>
  <c r="G29" i="1780"/>
  <c r="E36" i="1780" s="1"/>
  <c r="G36" i="1780" s="1"/>
  <c r="N43" i="1780" s="1"/>
  <c r="G9" i="1781" s="1"/>
  <c r="M43" i="1780"/>
  <c r="E9" i="1781"/>
  <c r="C44" i="1780"/>
  <c r="K44" i="1780" s="1"/>
  <c r="C30" i="1780"/>
  <c r="F10" i="1780"/>
  <c r="C37" i="1780" l="1"/>
  <c r="G30" i="1780"/>
  <c r="E37" i="1780" s="1"/>
  <c r="G37" i="1780" s="1"/>
  <c r="N44" i="1780" s="1"/>
  <c r="G10" i="1781" s="1"/>
  <c r="E30" i="1781" s="1"/>
  <c r="M44" i="1780"/>
  <c r="E10" i="1781"/>
  <c r="C43" i="1781"/>
  <c r="K43" i="1781" s="1"/>
  <c r="C29" i="1781"/>
  <c r="C36" i="1781" s="1"/>
  <c r="F9" i="1781"/>
  <c r="F16" i="1781"/>
  <c r="G16" i="1781" s="1"/>
  <c r="H16" i="1781" s="1"/>
  <c r="H23" i="1781" s="1"/>
  <c r="E29" i="1781"/>
  <c r="G29" i="1781" s="1"/>
  <c r="E36" i="1781" s="1"/>
  <c r="G36" i="1781" s="1"/>
  <c r="N43" i="1781" s="1"/>
  <c r="G9" i="1782" s="1"/>
  <c r="E29" i="1782" s="1"/>
  <c r="M43" i="1781" l="1"/>
  <c r="E9" i="1782"/>
  <c r="C44" i="1781"/>
  <c r="K44" i="1781" s="1"/>
  <c r="C30" i="1781"/>
  <c r="C37" i="1781" s="1"/>
  <c r="F10" i="1781"/>
  <c r="G30" i="1781"/>
  <c r="E37" i="1781" s="1"/>
  <c r="G37" i="1781" s="1"/>
  <c r="N44" i="1781" s="1"/>
  <c r="G10" i="1782" s="1"/>
  <c r="E30" i="1782" s="1"/>
  <c r="M44" i="1781" l="1"/>
  <c r="E10" i="1782"/>
  <c r="C29" i="1782"/>
  <c r="C43" i="1782"/>
  <c r="K43" i="1782" s="1"/>
  <c r="F9" i="1782"/>
  <c r="M43" i="1782" l="1"/>
  <c r="E9" i="1783"/>
  <c r="C36" i="1782"/>
  <c r="G29" i="1782"/>
  <c r="E36" i="1782" s="1"/>
  <c r="G36" i="1782" s="1"/>
  <c r="N43" i="1782" s="1"/>
  <c r="G9" i="1783" s="1"/>
  <c r="C30" i="1782"/>
  <c r="C44" i="1782"/>
  <c r="K44" i="1782" s="1"/>
  <c r="F10" i="1782"/>
  <c r="M44" i="1782" l="1"/>
  <c r="E10" i="1783"/>
  <c r="C37" i="1782"/>
  <c r="G30" i="1782"/>
  <c r="E37" i="1782" s="1"/>
  <c r="G37" i="1782" s="1"/>
  <c r="N44" i="1782" s="1"/>
  <c r="G10" i="1783" s="1"/>
  <c r="F16" i="1783"/>
  <c r="G16" i="1783" s="1"/>
  <c r="H16" i="1783" s="1"/>
  <c r="H23" i="1783" s="1"/>
  <c r="E29" i="1783"/>
  <c r="C43" i="1783"/>
  <c r="K43" i="1783" s="1"/>
  <c r="C29" i="1783"/>
  <c r="F9" i="1783"/>
  <c r="C36" i="1783" l="1"/>
  <c r="G29" i="1783"/>
  <c r="E36" i="1783" s="1"/>
  <c r="G36" i="1783" s="1"/>
  <c r="N43" i="1783" s="1"/>
  <c r="G9" i="1784" s="1"/>
  <c r="E29" i="1784" s="1"/>
  <c r="M43" i="1783"/>
  <c r="E9" i="1784"/>
  <c r="N16" i="1783"/>
  <c r="O16" i="1783" s="1"/>
  <c r="P16" i="1783" s="1"/>
  <c r="N19" i="1783"/>
  <c r="O19" i="1783" s="1"/>
  <c r="P19" i="1783" s="1"/>
  <c r="E30" i="1783"/>
  <c r="N18" i="1783"/>
  <c r="O18" i="1783" s="1"/>
  <c r="P18" i="1783" s="1"/>
  <c r="N17" i="1783"/>
  <c r="O17" i="1783" s="1"/>
  <c r="P17" i="1783" s="1"/>
  <c r="C44" i="1783"/>
  <c r="K44" i="1783" s="1"/>
  <c r="C30" i="1783"/>
  <c r="F10" i="1783"/>
  <c r="C37" i="1783" l="1"/>
  <c r="G30" i="1783"/>
  <c r="E37" i="1783" s="1"/>
  <c r="G37" i="1783" s="1"/>
  <c r="N44" i="1783" s="1"/>
  <c r="G10" i="1784" s="1"/>
  <c r="E30" i="1784" s="1"/>
  <c r="M44" i="1783"/>
  <c r="E10" i="1784"/>
  <c r="P23" i="1783"/>
  <c r="C43" i="1784"/>
  <c r="K43" i="1784" s="1"/>
  <c r="C29" i="1784"/>
  <c r="F9" i="1784"/>
  <c r="C36" i="1784" l="1"/>
  <c r="G29" i="1784"/>
  <c r="E36" i="1784" s="1"/>
  <c r="G36" i="1784" s="1"/>
  <c r="N43" i="1784" s="1"/>
  <c r="G9" i="1785" s="1"/>
  <c r="E29" i="1785" s="1"/>
  <c r="M43" i="1784"/>
  <c r="E9" i="1785"/>
  <c r="C44" i="1784"/>
  <c r="K44" i="1784" s="1"/>
  <c r="C30" i="1784"/>
  <c r="F10" i="1784"/>
  <c r="C37" i="1784" l="1"/>
  <c r="G30" i="1784"/>
  <c r="E37" i="1784" s="1"/>
  <c r="G37" i="1784" s="1"/>
  <c r="N44" i="1784" s="1"/>
  <c r="G10" i="1785" s="1"/>
  <c r="M44" i="1784"/>
  <c r="E10" i="1785"/>
  <c r="C43" i="1785"/>
  <c r="K43" i="1785" s="1"/>
  <c r="C29" i="1785"/>
  <c r="F9" i="1785"/>
  <c r="C36" i="1785" l="1"/>
  <c r="G29" i="1785"/>
  <c r="E36" i="1785" s="1"/>
  <c r="G36" i="1785" s="1"/>
  <c r="N43" i="1785" s="1"/>
  <c r="G9" i="1786" s="1"/>
  <c r="M43" i="1785"/>
  <c r="E9" i="1786"/>
  <c r="C44" i="1785"/>
  <c r="K44" i="1785" s="1"/>
  <c r="C30" i="1785"/>
  <c r="F10" i="1785"/>
  <c r="N17" i="1785"/>
  <c r="O17" i="1785" s="1"/>
  <c r="P17" i="1785" s="1"/>
  <c r="N16" i="1785"/>
  <c r="O16" i="1785" s="1"/>
  <c r="P16" i="1785" s="1"/>
  <c r="P23" i="1785" s="1"/>
  <c r="E30" i="1785"/>
  <c r="C37" i="1785" l="1"/>
  <c r="G30" i="1785"/>
  <c r="E37" i="1785" s="1"/>
  <c r="G37" i="1785" s="1"/>
  <c r="N44" i="1785" s="1"/>
  <c r="G10" i="1786" s="1"/>
  <c r="M44" i="1785"/>
  <c r="E10" i="1786"/>
  <c r="C43" i="1786"/>
  <c r="K43" i="1786" s="1"/>
  <c r="C29" i="1786"/>
  <c r="F9" i="1786"/>
  <c r="F16" i="1786"/>
  <c r="G16" i="1786" s="1"/>
  <c r="H16" i="1786" s="1"/>
  <c r="H23" i="1786" s="1"/>
  <c r="E29" i="1786"/>
  <c r="C36" i="1786" l="1"/>
  <c r="G29" i="1786"/>
  <c r="E36" i="1786" s="1"/>
  <c r="G36" i="1786" s="1"/>
  <c r="N43" i="1786" s="1"/>
  <c r="G9" i="1787" s="1"/>
  <c r="M43" i="1786"/>
  <c r="E9" i="1787"/>
  <c r="C44" i="1786"/>
  <c r="K44" i="1786" s="1"/>
  <c r="C30" i="1786"/>
  <c r="F10" i="1786"/>
  <c r="E30" i="1786"/>
  <c r="N16" i="1786"/>
  <c r="O16" i="1786" s="1"/>
  <c r="P16" i="1786" s="1"/>
  <c r="P23" i="1786" s="1"/>
  <c r="C37" i="1786" l="1"/>
  <c r="G30" i="1786"/>
  <c r="E37" i="1786" s="1"/>
  <c r="G37" i="1786" s="1"/>
  <c r="N44" i="1786" s="1"/>
  <c r="G10" i="1787" s="1"/>
  <c r="E30" i="1787" s="1"/>
  <c r="M44" i="1786"/>
  <c r="E10" i="1787"/>
  <c r="C43" i="1787"/>
  <c r="K43" i="1787" s="1"/>
  <c r="C29" i="1787"/>
  <c r="F9" i="1787"/>
  <c r="E29" i="1787"/>
  <c r="F16" i="1787"/>
  <c r="G16" i="1787" s="1"/>
  <c r="H16" i="1787" s="1"/>
  <c r="H23" i="1787" s="1"/>
  <c r="C36" i="1787" l="1"/>
  <c r="G29" i="1787"/>
  <c r="E36" i="1787" s="1"/>
  <c r="G36" i="1787" s="1"/>
  <c r="N43" i="1787" s="1"/>
  <c r="G9" i="1788" s="1"/>
  <c r="E29" i="1788" s="1"/>
  <c r="M43" i="1787"/>
  <c r="E9" i="1788"/>
  <c r="C44" i="1787"/>
  <c r="K44" i="1787" s="1"/>
  <c r="C30" i="1787"/>
  <c r="F10" i="1787"/>
  <c r="C37" i="1787" l="1"/>
  <c r="G30" i="1787"/>
  <c r="E37" i="1787" s="1"/>
  <c r="G37" i="1787" s="1"/>
  <c r="N44" i="1787" s="1"/>
  <c r="G10" i="1788" s="1"/>
  <c r="E30" i="1788" s="1"/>
  <c r="M44" i="1787"/>
  <c r="E10" i="1788"/>
  <c r="C43" i="1788"/>
  <c r="K43" i="1788" s="1"/>
  <c r="C29" i="1788"/>
  <c r="F9" i="1788"/>
  <c r="C36" i="1788" l="1"/>
  <c r="G29" i="1788"/>
  <c r="E36" i="1788" s="1"/>
  <c r="G36" i="1788" s="1"/>
  <c r="N43" i="1788" s="1"/>
  <c r="G9" i="1789" s="1"/>
  <c r="M43" i="1788"/>
  <c r="E9" i="1789"/>
  <c r="C44" i="1788"/>
  <c r="K44" i="1788" s="1"/>
  <c r="C30" i="1788"/>
  <c r="F10" i="1788"/>
  <c r="C37" i="1788" l="1"/>
  <c r="G30" i="1788"/>
  <c r="E37" i="1788" s="1"/>
  <c r="G37" i="1788" s="1"/>
  <c r="N44" i="1788" s="1"/>
  <c r="G10" i="1789" s="1"/>
  <c r="M44" i="1788"/>
  <c r="E10" i="1789"/>
  <c r="C43" i="1789"/>
  <c r="K43" i="1789" s="1"/>
  <c r="C29" i="1789"/>
  <c r="F9" i="1789"/>
  <c r="F16" i="1789"/>
  <c r="G16" i="1789" s="1"/>
  <c r="H16" i="1789" s="1"/>
  <c r="H23" i="1789" s="1"/>
  <c r="E29" i="1789"/>
  <c r="C36" i="1789" l="1"/>
  <c r="G29" i="1789"/>
  <c r="E36" i="1789" s="1"/>
  <c r="G36" i="1789" s="1"/>
  <c r="N43" i="1789" s="1"/>
  <c r="G9" i="1792" s="1"/>
  <c r="E29" i="1792" s="1"/>
  <c r="M43" i="1789"/>
  <c r="E9" i="1792"/>
  <c r="C44" i="1789"/>
  <c r="K44" i="1789" s="1"/>
  <c r="C30" i="1789"/>
  <c r="F10" i="1789"/>
  <c r="N16" i="1789"/>
  <c r="O16" i="1789" s="1"/>
  <c r="P16" i="1789" s="1"/>
  <c r="P23" i="1789" s="1"/>
  <c r="E30" i="1789"/>
  <c r="C37" i="1789" l="1"/>
  <c r="G30" i="1789"/>
  <c r="E37" i="1789" s="1"/>
  <c r="G37" i="1789" s="1"/>
  <c r="N44" i="1789" s="1"/>
  <c r="G10" i="1792" s="1"/>
  <c r="E30" i="1792" s="1"/>
  <c r="M44" i="1789"/>
  <c r="E10" i="1792"/>
  <c r="C43" i="1792"/>
  <c r="K43" i="1792" s="1"/>
  <c r="C29" i="1792"/>
  <c r="F9" i="1792"/>
  <c r="C36" i="1792" l="1"/>
  <c r="G29" i="1792"/>
  <c r="E36" i="1792" s="1"/>
  <c r="G36" i="1792" s="1"/>
  <c r="N43" i="1792" s="1"/>
  <c r="G9" i="1793" s="1"/>
  <c r="M43" i="1792"/>
  <c r="E9" i="1793"/>
  <c r="C44" i="1792"/>
  <c r="K44" i="1792" s="1"/>
  <c r="C30" i="1792"/>
  <c r="F10" i="1792"/>
  <c r="C37" i="1792" l="1"/>
  <c r="G30" i="1792"/>
  <c r="E37" i="1792" s="1"/>
  <c r="G37" i="1792" s="1"/>
  <c r="N44" i="1792" s="1"/>
  <c r="G10" i="1793" s="1"/>
  <c r="M44" i="1792"/>
  <c r="E10" i="1793"/>
  <c r="C43" i="1793"/>
  <c r="K43" i="1793" s="1"/>
  <c r="C29" i="1793"/>
  <c r="F9" i="1793"/>
  <c r="F16" i="1793"/>
  <c r="G16" i="1793" s="1"/>
  <c r="H16" i="1793" s="1"/>
  <c r="H23" i="1793" s="1"/>
  <c r="E29" i="1793"/>
  <c r="M43" i="1793" l="1"/>
  <c r="E9" i="1795"/>
  <c r="C36" i="1793"/>
  <c r="G29" i="1793"/>
  <c r="E36" i="1793" s="1"/>
  <c r="G36" i="1793" s="1"/>
  <c r="N43" i="1793" s="1"/>
  <c r="G9" i="1795" s="1"/>
  <c r="E29" i="1795" s="1"/>
  <c r="C44" i="1793"/>
  <c r="K44" i="1793" s="1"/>
  <c r="C30" i="1793"/>
  <c r="F10" i="1793"/>
  <c r="N16" i="1793"/>
  <c r="O16" i="1793" s="1"/>
  <c r="P16" i="1793" s="1"/>
  <c r="P23" i="1793" s="1"/>
  <c r="E30" i="1793"/>
  <c r="M44" i="1793" l="1"/>
  <c r="E10" i="1795"/>
  <c r="C43" i="1795"/>
  <c r="K43" i="1795" s="1"/>
  <c r="C29" i="1795"/>
  <c r="F9" i="1795"/>
  <c r="C37" i="1793"/>
  <c r="G30" i="1793"/>
  <c r="E37" i="1793" s="1"/>
  <c r="G37" i="1793" s="1"/>
  <c r="N44" i="1793" s="1"/>
  <c r="G10" i="1795" s="1"/>
  <c r="E30" i="1795" s="1"/>
  <c r="C36" i="1795" l="1"/>
  <c r="G29" i="1795"/>
  <c r="E36" i="1795" s="1"/>
  <c r="G36" i="1795" s="1"/>
  <c r="N43" i="1795" s="1"/>
  <c r="G9" i="1796" s="1"/>
  <c r="E29" i="1796" s="1"/>
  <c r="M43" i="1795"/>
  <c r="E9" i="1796"/>
  <c r="C44" i="1795"/>
  <c r="K44" i="1795" s="1"/>
  <c r="C30" i="1795"/>
  <c r="F10" i="1795"/>
  <c r="C37" i="1795" l="1"/>
  <c r="G30" i="1795"/>
  <c r="E37" i="1795" s="1"/>
  <c r="G37" i="1795" s="1"/>
  <c r="N44" i="1795" s="1"/>
  <c r="G10" i="1796" s="1"/>
  <c r="E30" i="1796" s="1"/>
  <c r="M44" i="1795"/>
  <c r="E10" i="1796"/>
  <c r="C43" i="1796"/>
  <c r="K43" i="1796" s="1"/>
  <c r="C29" i="1796"/>
  <c r="F9" i="1796"/>
  <c r="C36" i="1796" l="1"/>
  <c r="G29" i="1796"/>
  <c r="E36" i="1796" s="1"/>
  <c r="G36" i="1796" s="1"/>
  <c r="N43" i="1796" s="1"/>
  <c r="G9" i="1797" s="1"/>
  <c r="E29" i="1797" s="1"/>
  <c r="M43" i="1796"/>
  <c r="E9" i="1797"/>
  <c r="C44" i="1796"/>
  <c r="K44" i="1796" s="1"/>
  <c r="C30" i="1796"/>
  <c r="C37" i="1796" s="1"/>
  <c r="F10" i="1796"/>
  <c r="G30" i="1796"/>
  <c r="E37" i="1796" s="1"/>
  <c r="G37" i="1796" s="1"/>
  <c r="N44" i="1796" s="1"/>
  <c r="G10" i="1797" s="1"/>
  <c r="N17" i="1797" l="1"/>
  <c r="O17" i="1797" s="1"/>
  <c r="P17" i="1797" s="1"/>
  <c r="N16" i="1797"/>
  <c r="O16" i="1797" s="1"/>
  <c r="P16" i="1797" s="1"/>
  <c r="P23" i="1797" s="1"/>
  <c r="E30" i="1797"/>
  <c r="M44" i="1796"/>
  <c r="E10" i="1797"/>
  <c r="C43" i="1797"/>
  <c r="K43" i="1797" s="1"/>
  <c r="C29" i="1797"/>
  <c r="F9" i="1797"/>
  <c r="C36" i="1797" l="1"/>
  <c r="G29" i="1797"/>
  <c r="E36" i="1797" s="1"/>
  <c r="G36" i="1797" s="1"/>
  <c r="N43" i="1797" s="1"/>
  <c r="G9" i="1798" s="1"/>
  <c r="E29" i="1798" s="1"/>
  <c r="M43" i="1797"/>
  <c r="E9" i="1798"/>
  <c r="C44" i="1797"/>
  <c r="K44" i="1797" s="1"/>
  <c r="C30" i="1797"/>
  <c r="C37" i="1797" s="1"/>
  <c r="F10" i="1797"/>
  <c r="G30" i="1797"/>
  <c r="E37" i="1797" s="1"/>
  <c r="G37" i="1797" s="1"/>
  <c r="N44" i="1797" s="1"/>
  <c r="G10" i="1798" s="1"/>
  <c r="E30" i="1798" s="1"/>
  <c r="M44" i="1797" l="1"/>
  <c r="E10" i="1798"/>
  <c r="C43" i="1798"/>
  <c r="K43" i="1798" s="1"/>
  <c r="C29" i="1798"/>
  <c r="F9" i="1798"/>
  <c r="C36" i="1798" l="1"/>
  <c r="G29" i="1798"/>
  <c r="E36" i="1798" s="1"/>
  <c r="G36" i="1798" s="1"/>
  <c r="N43" i="1798" s="1"/>
  <c r="G9" i="1799" s="1"/>
  <c r="M43" i="1798"/>
  <c r="E9" i="1799"/>
  <c r="C44" i="1798"/>
  <c r="K44" i="1798" s="1"/>
  <c r="C30" i="1798"/>
  <c r="F10" i="1798"/>
  <c r="C37" i="1798" l="1"/>
  <c r="G30" i="1798"/>
  <c r="E37" i="1798" s="1"/>
  <c r="G37" i="1798" s="1"/>
  <c r="N44" i="1798" s="1"/>
  <c r="G10" i="1799" s="1"/>
  <c r="M44" i="1798"/>
  <c r="E10" i="1799"/>
  <c r="C43" i="1799"/>
  <c r="K43" i="1799" s="1"/>
  <c r="C29" i="1799"/>
  <c r="F9" i="1799"/>
  <c r="F16" i="1799"/>
  <c r="G16" i="1799" s="1"/>
  <c r="H16" i="1799" s="1"/>
  <c r="H23" i="1799" s="1"/>
  <c r="E29" i="1799"/>
  <c r="C36" i="1799" l="1"/>
  <c r="G29" i="1799"/>
  <c r="E36" i="1799" s="1"/>
  <c r="G36" i="1799" s="1"/>
  <c r="N43" i="1799" s="1"/>
  <c r="G9" i="1800" s="1"/>
  <c r="E29" i="1800" s="1"/>
  <c r="M43" i="1799"/>
  <c r="E9" i="1800"/>
  <c r="C44" i="1799"/>
  <c r="K44" i="1799" s="1"/>
  <c r="C30" i="1799"/>
  <c r="C37" i="1799" s="1"/>
  <c r="F10" i="1799"/>
  <c r="N17" i="1799"/>
  <c r="O17" i="1799" s="1"/>
  <c r="P17" i="1799" s="1"/>
  <c r="N16" i="1799"/>
  <c r="O16" i="1799" s="1"/>
  <c r="P16" i="1799" s="1"/>
  <c r="P23" i="1799" s="1"/>
  <c r="E30" i="1799"/>
  <c r="G30" i="1799" s="1"/>
  <c r="E37" i="1799" s="1"/>
  <c r="G37" i="1799" s="1"/>
  <c r="N44" i="1799" s="1"/>
  <c r="G10" i="1800" s="1"/>
  <c r="E30" i="1800" s="1"/>
  <c r="M44" i="1799" l="1"/>
  <c r="E10" i="1800"/>
  <c r="C43" i="1800"/>
  <c r="K43" i="1800" s="1"/>
  <c r="C29" i="1800"/>
  <c r="F9" i="1800"/>
  <c r="C36" i="1800" l="1"/>
  <c r="G29" i="1800"/>
  <c r="E36" i="1800" s="1"/>
  <c r="G36" i="1800" s="1"/>
  <c r="N43" i="1800" s="1"/>
  <c r="G9" i="1801" s="1"/>
  <c r="E29" i="1801" s="1"/>
  <c r="M43" i="1800"/>
  <c r="E9" i="1801"/>
  <c r="C44" i="1800"/>
  <c r="K44" i="1800" s="1"/>
  <c r="C30" i="1800"/>
  <c r="F10" i="1800"/>
  <c r="C37" i="1800" l="1"/>
  <c r="G30" i="1800"/>
  <c r="E37" i="1800" s="1"/>
  <c r="G37" i="1800" s="1"/>
  <c r="N44" i="1800" s="1"/>
  <c r="G10" i="1801" s="1"/>
  <c r="M44" i="1800"/>
  <c r="E10" i="1801"/>
  <c r="C43" i="1801"/>
  <c r="K43" i="1801" s="1"/>
  <c r="C29" i="1801"/>
  <c r="F9" i="1801"/>
  <c r="C36" i="1801" l="1"/>
  <c r="G29" i="1801"/>
  <c r="E36" i="1801" s="1"/>
  <c r="G36" i="1801" s="1"/>
  <c r="N43" i="1801" s="1"/>
  <c r="G9" i="1802" s="1"/>
  <c r="M43" i="1801"/>
  <c r="E9" i="1802"/>
  <c r="C44" i="1801"/>
  <c r="K44" i="1801" s="1"/>
  <c r="C30" i="1801"/>
  <c r="C37" i="1801" s="1"/>
  <c r="F10" i="1801"/>
  <c r="N17" i="1801"/>
  <c r="O17" i="1801" s="1"/>
  <c r="P17" i="1801" s="1"/>
  <c r="E30" i="1801"/>
  <c r="G30" i="1801" s="1"/>
  <c r="E37" i="1801" s="1"/>
  <c r="G37" i="1801" s="1"/>
  <c r="N44" i="1801" s="1"/>
  <c r="G10" i="1802" s="1"/>
  <c r="N16" i="1801"/>
  <c r="O16" i="1801" s="1"/>
  <c r="P16" i="1801" s="1"/>
  <c r="P23" i="1801" s="1"/>
  <c r="N18" i="1802" l="1"/>
  <c r="O18" i="1802" s="1"/>
  <c r="P18" i="1802" s="1"/>
  <c r="E30" i="1802"/>
  <c r="N17" i="1802"/>
  <c r="O17" i="1802" s="1"/>
  <c r="P17" i="1802" s="1"/>
  <c r="N16" i="1802"/>
  <c r="O16" i="1802" s="1"/>
  <c r="P16" i="1802" s="1"/>
  <c r="P23" i="1802" s="1"/>
  <c r="M44" i="1801"/>
  <c r="E10" i="1802"/>
  <c r="C43" i="1802"/>
  <c r="K43" i="1802" s="1"/>
  <c r="C29" i="1802"/>
  <c r="F9" i="1802"/>
  <c r="F16" i="1802"/>
  <c r="G16" i="1802" s="1"/>
  <c r="H16" i="1802" s="1"/>
  <c r="H23" i="1802" s="1"/>
  <c r="E29" i="1802"/>
  <c r="C36" i="1802" l="1"/>
  <c r="G29" i="1802"/>
  <c r="E36" i="1802" s="1"/>
  <c r="G36" i="1802" s="1"/>
  <c r="N43" i="1802" s="1"/>
  <c r="G9" i="1803" s="1"/>
  <c r="E29" i="1803" s="1"/>
  <c r="M43" i="1802"/>
  <c r="E9" i="1803"/>
  <c r="C44" i="1802"/>
  <c r="K44" i="1802" s="1"/>
  <c r="C30" i="1802"/>
  <c r="C37" i="1802" s="1"/>
  <c r="F10" i="1802"/>
  <c r="G30" i="1802"/>
  <c r="E37" i="1802" s="1"/>
  <c r="G37" i="1802" s="1"/>
  <c r="N44" i="1802" s="1"/>
  <c r="G10" i="1803" s="1"/>
  <c r="E30" i="1803" s="1"/>
  <c r="M44" i="1802" l="1"/>
  <c r="E10" i="1803"/>
  <c r="C43" i="1803"/>
  <c r="K43" i="1803" s="1"/>
  <c r="C29" i="1803"/>
  <c r="F9" i="1803"/>
  <c r="C36" i="1803" l="1"/>
  <c r="G29" i="1803"/>
  <c r="E36" i="1803" s="1"/>
  <c r="G36" i="1803" s="1"/>
  <c r="N43" i="1803" s="1"/>
  <c r="G9" i="1804" s="1"/>
  <c r="E29" i="1804" s="1"/>
  <c r="M43" i="1803"/>
  <c r="E9" i="1804"/>
  <c r="C44" i="1803"/>
  <c r="K44" i="1803" s="1"/>
  <c r="C30" i="1803"/>
  <c r="F10" i="1803"/>
  <c r="C37" i="1803" l="1"/>
  <c r="G30" i="1803"/>
  <c r="E37" i="1803" s="1"/>
  <c r="G37" i="1803" s="1"/>
  <c r="N44" i="1803" s="1"/>
  <c r="G10" i="1804" s="1"/>
  <c r="M44" i="1803"/>
  <c r="E10" i="1804"/>
  <c r="C43" i="1804"/>
  <c r="K43" i="1804" s="1"/>
  <c r="C29" i="1804"/>
  <c r="F9" i="1804"/>
  <c r="C36" i="1804" l="1"/>
  <c r="G29" i="1804"/>
  <c r="E36" i="1804" s="1"/>
  <c r="G36" i="1804" s="1"/>
  <c r="N43" i="1804" s="1"/>
  <c r="G9" i="1807" s="1"/>
  <c r="E29" i="1807" s="1"/>
  <c r="M43" i="1804"/>
  <c r="E9" i="1807"/>
  <c r="C44" i="1804"/>
  <c r="K44" i="1804" s="1"/>
  <c r="C30" i="1804"/>
  <c r="C37" i="1804" s="1"/>
  <c r="F10" i="1804"/>
  <c r="N16" i="1804"/>
  <c r="O16" i="1804" s="1"/>
  <c r="P16" i="1804" s="1"/>
  <c r="P23" i="1804" s="1"/>
  <c r="E30" i="1804"/>
  <c r="G30" i="1804" s="1"/>
  <c r="E37" i="1804" s="1"/>
  <c r="G37" i="1804" s="1"/>
  <c r="N44" i="1804" s="1"/>
  <c r="G10" i="1807" s="1"/>
  <c r="E30" i="1807" s="1"/>
  <c r="M44" i="1804" l="1"/>
  <c r="E10" i="1807"/>
  <c r="C43" i="1807"/>
  <c r="K43" i="1807" s="1"/>
  <c r="C29" i="1807"/>
  <c r="F9" i="1807"/>
  <c r="C36" i="1807" l="1"/>
  <c r="G29" i="1807"/>
  <c r="E36" i="1807" s="1"/>
  <c r="G36" i="1807" s="1"/>
  <c r="N43" i="1807" s="1"/>
  <c r="G9" i="1808" s="1"/>
  <c r="M43" i="1807"/>
  <c r="E9" i="1808"/>
  <c r="C44" i="1807"/>
  <c r="K44" i="1807" s="1"/>
  <c r="C30" i="1807"/>
  <c r="F10" i="1807"/>
  <c r="C37" i="1807" l="1"/>
  <c r="G30" i="1807"/>
  <c r="E37" i="1807" s="1"/>
  <c r="G37" i="1807" s="1"/>
  <c r="N44" i="1807" s="1"/>
  <c r="G10" i="1808" s="1"/>
  <c r="M44" i="1807"/>
  <c r="E10" i="1808"/>
  <c r="C43" i="1808"/>
  <c r="K43" i="1808" s="1"/>
  <c r="C29" i="1808"/>
  <c r="C36" i="1808" s="1"/>
  <c r="F9" i="1808"/>
  <c r="F17" i="1808"/>
  <c r="G17" i="1808" s="1"/>
  <c r="H17" i="1808" s="1"/>
  <c r="F16" i="1808"/>
  <c r="G16" i="1808" s="1"/>
  <c r="H16" i="1808" s="1"/>
  <c r="E29" i="1808"/>
  <c r="G29" i="1808" s="1"/>
  <c r="E36" i="1808" s="1"/>
  <c r="G36" i="1808" s="1"/>
  <c r="N43" i="1808" s="1"/>
  <c r="G9" i="1809" s="1"/>
  <c r="E29" i="1809" s="1"/>
  <c r="F18" i="1808"/>
  <c r="G18" i="1808" s="1"/>
  <c r="H18" i="1808" s="1"/>
  <c r="H23" i="1808" l="1"/>
  <c r="M43" i="1808"/>
  <c r="E9" i="1809"/>
  <c r="C44" i="1808"/>
  <c r="K44" i="1808" s="1"/>
  <c r="C30" i="1808"/>
  <c r="C37" i="1808" s="1"/>
  <c r="F10" i="1808"/>
  <c r="N22" i="1808"/>
  <c r="O22" i="1808" s="1"/>
  <c r="P22" i="1808" s="1"/>
  <c r="N21" i="1808"/>
  <c r="O21" i="1808" s="1"/>
  <c r="P21" i="1808" s="1"/>
  <c r="N20" i="1808"/>
  <c r="O20" i="1808" s="1"/>
  <c r="P20" i="1808" s="1"/>
  <c r="N19" i="1808"/>
  <c r="O19" i="1808" s="1"/>
  <c r="P19" i="1808" s="1"/>
  <c r="N18" i="1808"/>
  <c r="O18" i="1808" s="1"/>
  <c r="P18" i="1808" s="1"/>
  <c r="N17" i="1808"/>
  <c r="O17" i="1808" s="1"/>
  <c r="P17" i="1808" s="1"/>
  <c r="N16" i="1808"/>
  <c r="O16" i="1808" s="1"/>
  <c r="P16" i="1808" s="1"/>
  <c r="P23" i="1808" s="1"/>
  <c r="E30" i="1808"/>
  <c r="G30" i="1808" s="1"/>
  <c r="E37" i="1808" s="1"/>
  <c r="G37" i="1808" s="1"/>
  <c r="N44" i="1808" s="1"/>
  <c r="G10" i="1809" s="1"/>
  <c r="E30" i="1809" s="1"/>
  <c r="M44" i="1808" l="1"/>
  <c r="E10" i="1809"/>
  <c r="C43" i="1809"/>
  <c r="K43" i="1809" s="1"/>
  <c r="C29" i="1809"/>
  <c r="F9" i="1809"/>
  <c r="C36" i="1809" l="1"/>
  <c r="G29" i="1809"/>
  <c r="E36" i="1809" s="1"/>
  <c r="G36" i="1809" s="1"/>
  <c r="N43" i="1809" s="1"/>
  <c r="G9" i="1810" s="1"/>
  <c r="E29" i="1810" s="1"/>
  <c r="M43" i="1809"/>
  <c r="E9" i="1810"/>
  <c r="C44" i="1809"/>
  <c r="K44" i="1809" s="1"/>
  <c r="C30" i="1809"/>
  <c r="F10" i="1809"/>
  <c r="C37" i="1809" l="1"/>
  <c r="G30" i="1809"/>
  <c r="E37" i="1809" s="1"/>
  <c r="G37" i="1809" s="1"/>
  <c r="N44" i="1809" s="1"/>
  <c r="G10" i="1810" s="1"/>
  <c r="M44" i="1809"/>
  <c r="E10" i="1810"/>
  <c r="C43" i="1810"/>
  <c r="K43" i="1810" s="1"/>
  <c r="C29" i="1810"/>
  <c r="C36" i="1810" s="1"/>
  <c r="F9" i="1810"/>
  <c r="G29" i="1810"/>
  <c r="E36" i="1810" s="1"/>
  <c r="G36" i="1810" s="1"/>
  <c r="N43" i="1810" s="1"/>
  <c r="G9" i="1811" s="1"/>
  <c r="E29" i="1811" s="1"/>
  <c r="M43" i="1810" l="1"/>
  <c r="E9" i="1811"/>
  <c r="C44" i="1810"/>
  <c r="K44" i="1810" s="1"/>
  <c r="C30" i="1810"/>
  <c r="C37" i="1810" s="1"/>
  <c r="F10" i="1810"/>
  <c r="N16" i="1810"/>
  <c r="O16" i="1810" s="1"/>
  <c r="P16" i="1810" s="1"/>
  <c r="P23" i="1810" s="1"/>
  <c r="E30" i="1810"/>
  <c r="G30" i="1810" s="1"/>
  <c r="E37" i="1810" s="1"/>
  <c r="G37" i="1810" s="1"/>
  <c r="N44" i="1810" s="1"/>
  <c r="G10" i="1811" s="1"/>
  <c r="E30" i="1811" s="1"/>
  <c r="M44" i="1810" l="1"/>
  <c r="E10" i="1811"/>
  <c r="C43" i="1811"/>
  <c r="K43" i="1811" s="1"/>
  <c r="C29" i="1811"/>
  <c r="F9" i="1811"/>
  <c r="C36" i="1811" l="1"/>
  <c r="G29" i="1811"/>
  <c r="E36" i="1811" s="1"/>
  <c r="G36" i="1811" s="1"/>
  <c r="N43" i="1811" s="1"/>
  <c r="G9" i="1812" s="1"/>
  <c r="E29" i="1812" s="1"/>
  <c r="M43" i="1811"/>
  <c r="E9" i="1812"/>
  <c r="C44" i="1811"/>
  <c r="K44" i="1811" s="1"/>
  <c r="C30" i="1811"/>
  <c r="F10" i="1811"/>
  <c r="C37" i="1811" l="1"/>
  <c r="G30" i="1811"/>
  <c r="E37" i="1811" s="1"/>
  <c r="G37" i="1811" s="1"/>
  <c r="N44" i="1811" s="1"/>
  <c r="G10" i="1812" s="1"/>
  <c r="E30" i="1812" s="1"/>
  <c r="M44" i="1811"/>
  <c r="E10" i="1812"/>
  <c r="C43" i="1812"/>
  <c r="K43" i="1812" s="1"/>
  <c r="C29" i="1812"/>
  <c r="C36" i="1812" s="1"/>
  <c r="F9" i="1812"/>
  <c r="G29" i="1812"/>
  <c r="E36" i="1812" s="1"/>
  <c r="G36" i="1812" s="1"/>
  <c r="N43" i="1812" s="1"/>
  <c r="G9" i="1813" s="1"/>
  <c r="F17" i="1813" l="1"/>
  <c r="G17" i="1813" s="1"/>
  <c r="H17" i="1813" s="1"/>
  <c r="F16" i="1813"/>
  <c r="G16" i="1813" s="1"/>
  <c r="H16" i="1813" s="1"/>
  <c r="H23" i="1813" s="1"/>
  <c r="E29" i="1813"/>
  <c r="M43" i="1812"/>
  <c r="E9" i="1813"/>
  <c r="C44" i="1812"/>
  <c r="K44" i="1812" s="1"/>
  <c r="C30" i="1812"/>
  <c r="C37" i="1812" s="1"/>
  <c r="F10" i="1812"/>
  <c r="G30" i="1812"/>
  <c r="E37" i="1812" s="1"/>
  <c r="G37" i="1812" s="1"/>
  <c r="N44" i="1812" s="1"/>
  <c r="G10" i="1813" s="1"/>
  <c r="N18" i="1813" l="1"/>
  <c r="O18" i="1813" s="1"/>
  <c r="P18" i="1813" s="1"/>
  <c r="N17" i="1813"/>
  <c r="O17" i="1813" s="1"/>
  <c r="P17" i="1813" s="1"/>
  <c r="N16" i="1813"/>
  <c r="O16" i="1813" s="1"/>
  <c r="P16" i="1813" s="1"/>
  <c r="P23" i="1813" s="1"/>
  <c r="E30" i="1813"/>
  <c r="M44" i="1812"/>
  <c r="E10" i="1813"/>
  <c r="C43" i="1813"/>
  <c r="K43" i="1813" s="1"/>
  <c r="C29" i="1813"/>
  <c r="C36" i="1813" s="1"/>
  <c r="F9" i="1813"/>
  <c r="G29" i="1813"/>
  <c r="E36" i="1813" s="1"/>
  <c r="G36" i="1813" s="1"/>
  <c r="N43" i="1813" s="1"/>
  <c r="G9" i="1814" s="1"/>
  <c r="F16" i="1814" l="1"/>
  <c r="G16" i="1814" s="1"/>
  <c r="H16" i="1814" s="1"/>
  <c r="H23" i="1814" s="1"/>
  <c r="E29" i="1814"/>
  <c r="M43" i="1813"/>
  <c r="E9" i="1814"/>
  <c r="C44" i="1813"/>
  <c r="K44" i="1813" s="1"/>
  <c r="C30" i="1813"/>
  <c r="C37" i="1813" s="1"/>
  <c r="F10" i="1813"/>
  <c r="G30" i="1813"/>
  <c r="E37" i="1813" s="1"/>
  <c r="G37" i="1813" s="1"/>
  <c r="N44" i="1813" s="1"/>
  <c r="G10" i="1814" s="1"/>
  <c r="E30" i="1814" l="1"/>
  <c r="N16" i="1814"/>
  <c r="O16" i="1814" s="1"/>
  <c r="P16" i="1814" s="1"/>
  <c r="P23" i="1814" s="1"/>
  <c r="M44" i="1813"/>
  <c r="E10" i="1814"/>
  <c r="C43" i="1814"/>
  <c r="K43" i="1814" s="1"/>
  <c r="C29" i="1814"/>
  <c r="C36" i="1814" s="1"/>
  <c r="F9" i="1814"/>
  <c r="G29" i="1814"/>
  <c r="E36" i="1814" s="1"/>
  <c r="G36" i="1814" s="1"/>
  <c r="N43" i="1814" s="1"/>
  <c r="G9" i="1815" s="1"/>
  <c r="E29" i="1815" s="1"/>
  <c r="M43" i="1814" l="1"/>
  <c r="E9" i="1815"/>
  <c r="C44" i="1814"/>
  <c r="K44" i="1814" s="1"/>
  <c r="C30" i="1814"/>
  <c r="C37" i="1814" s="1"/>
  <c r="F10" i="1814"/>
  <c r="G30" i="1814"/>
  <c r="E37" i="1814" s="1"/>
  <c r="G37" i="1814" s="1"/>
  <c r="N44" i="1814" s="1"/>
  <c r="G10" i="1815" s="1"/>
  <c r="E30" i="1815" l="1"/>
  <c r="N16" i="1815"/>
  <c r="O16" i="1815" s="1"/>
  <c r="P16" i="1815" s="1"/>
  <c r="P23" i="1815" s="1"/>
  <c r="M44" i="1814"/>
  <c r="E10" i="1815"/>
  <c r="C43" i="1815"/>
  <c r="K43" i="1815" s="1"/>
  <c r="C29" i="1815"/>
  <c r="F9" i="1815"/>
  <c r="C36" i="1815" l="1"/>
  <c r="G29" i="1815"/>
  <c r="M43" i="1815"/>
  <c r="E9" i="1816"/>
  <c r="C44" i="1815"/>
  <c r="K44" i="1815" s="1"/>
  <c r="C30" i="1815"/>
  <c r="C37" i="1815" s="1"/>
  <c r="F10" i="1815"/>
  <c r="G30" i="1815"/>
  <c r="E37" i="1815" l="1"/>
  <c r="G37" i="1815" s="1"/>
  <c r="N44" i="1815" s="1"/>
  <c r="G10" i="1816" s="1"/>
  <c r="E30" i="1816" s="1"/>
  <c r="E36" i="1815"/>
  <c r="G36" i="1815" s="1"/>
  <c r="N43" i="1815" s="1"/>
  <c r="G9" i="1816" s="1"/>
  <c r="E29" i="1816" s="1"/>
  <c r="M44" i="1815"/>
  <c r="E10" i="1816"/>
  <c r="C43" i="1816"/>
  <c r="K43" i="1816" s="1"/>
  <c r="C29" i="1816"/>
  <c r="C36" i="1816" s="1"/>
  <c r="F9" i="1816"/>
  <c r="G29" i="1816"/>
  <c r="E36" i="1816" s="1"/>
  <c r="G36" i="1816" s="1"/>
  <c r="N43" i="1816" s="1"/>
  <c r="G9" i="1817" s="1"/>
  <c r="E29" i="1817" s="1"/>
  <c r="M43" i="1816" l="1"/>
  <c r="E9" i="1817"/>
  <c r="C44" i="1816"/>
  <c r="K44" i="1816" s="1"/>
  <c r="C30" i="1816"/>
  <c r="F10" i="1816"/>
  <c r="C37" i="1816" l="1"/>
  <c r="G30" i="1816"/>
  <c r="E37" i="1816" s="1"/>
  <c r="G37" i="1816" s="1"/>
  <c r="N44" i="1816" s="1"/>
  <c r="G10" i="1817" s="1"/>
  <c r="E30" i="1817" s="1"/>
  <c r="M44" i="1816"/>
  <c r="E10" i="1817"/>
  <c r="C43" i="1817"/>
  <c r="K43" i="1817" s="1"/>
  <c r="C29" i="1817"/>
  <c r="F9" i="1817"/>
  <c r="C36" i="1817" l="1"/>
  <c r="G29" i="1817"/>
  <c r="E36" i="1817" s="1"/>
  <c r="G36" i="1817" s="1"/>
  <c r="N43" i="1817" s="1"/>
  <c r="G9" i="1819" s="1"/>
  <c r="E29" i="1819" s="1"/>
  <c r="M43" i="1817"/>
  <c r="E9" i="1819"/>
  <c r="C44" i="1817"/>
  <c r="K44" i="1817" s="1"/>
  <c r="C30" i="1817"/>
  <c r="C37" i="1817" s="1"/>
  <c r="F10" i="1817"/>
  <c r="G30" i="1817"/>
  <c r="E37" i="1817" s="1"/>
  <c r="G37" i="1817" s="1"/>
  <c r="N44" i="1817" s="1"/>
  <c r="G10" i="1819" s="1"/>
  <c r="E30" i="1819" s="1"/>
  <c r="M44" i="1817" l="1"/>
  <c r="E10" i="1819"/>
  <c r="C43" i="1819"/>
  <c r="K43" i="1819" s="1"/>
  <c r="C29" i="1819"/>
  <c r="C36" i="1819" s="1"/>
  <c r="F9" i="1819"/>
  <c r="G29" i="1819"/>
  <c r="E36" i="1819" s="1"/>
  <c r="G36" i="1819" s="1"/>
  <c r="N43" i="1819" s="1"/>
  <c r="G9" i="1820" s="1"/>
  <c r="E29" i="1820" s="1"/>
  <c r="M43" i="1819" l="1"/>
  <c r="E9" i="1820"/>
  <c r="C44" i="1819"/>
  <c r="K44" i="1819" s="1"/>
  <c r="C30" i="1819"/>
  <c r="F10" i="1819"/>
  <c r="C37" i="1819" l="1"/>
  <c r="G30" i="1819"/>
  <c r="E37" i="1819" s="1"/>
  <c r="G37" i="1819" s="1"/>
  <c r="N44" i="1819" s="1"/>
  <c r="G10" i="1820" s="1"/>
  <c r="M44" i="1819"/>
  <c r="E10" i="1820"/>
  <c r="C43" i="1820"/>
  <c r="K43" i="1820" s="1"/>
  <c r="C29" i="1820"/>
  <c r="F9" i="1820"/>
  <c r="C36" i="1820" l="1"/>
  <c r="G29" i="1820"/>
  <c r="E36" i="1820" s="1"/>
  <c r="G36" i="1820" s="1"/>
  <c r="N43" i="1820" s="1"/>
  <c r="G9" i="1821" s="1"/>
  <c r="E29" i="1821" s="1"/>
  <c r="M43" i="1820"/>
  <c r="E9" i="1821"/>
  <c r="C44" i="1820"/>
  <c r="K44" i="1820" s="1"/>
  <c r="C30" i="1820"/>
  <c r="C37" i="1820" s="1"/>
  <c r="F10" i="1820"/>
  <c r="N17" i="1820"/>
  <c r="O17" i="1820" s="1"/>
  <c r="P17" i="1820" s="1"/>
  <c r="E30" i="1820"/>
  <c r="G30" i="1820" s="1"/>
  <c r="E37" i="1820" s="1"/>
  <c r="G37" i="1820" s="1"/>
  <c r="N44" i="1820" s="1"/>
  <c r="G10" i="1821" s="1"/>
  <c r="E30" i="1821" s="1"/>
  <c r="N16" i="1820"/>
  <c r="O16" i="1820" s="1"/>
  <c r="P16" i="1820" s="1"/>
  <c r="P23" i="1820" s="1"/>
  <c r="M44" i="1820" l="1"/>
  <c r="E10" i="1821"/>
  <c r="C43" i="1821"/>
  <c r="K43" i="1821" s="1"/>
  <c r="C29" i="1821"/>
  <c r="C36" i="1821" s="1"/>
  <c r="F9" i="1821"/>
  <c r="G29" i="1821"/>
  <c r="E36" i="1821" s="1"/>
  <c r="G36" i="1821" s="1"/>
  <c r="N43" i="1821" s="1"/>
  <c r="G9" i="1822" s="1"/>
  <c r="E29" i="1822" s="1"/>
  <c r="M43" i="1821" l="1"/>
  <c r="E9" i="1822"/>
  <c r="C44" i="1821"/>
  <c r="K44" i="1821" s="1"/>
  <c r="C30" i="1821"/>
  <c r="F10" i="1821"/>
  <c r="C37" i="1821" l="1"/>
  <c r="G30" i="1821"/>
  <c r="E37" i="1821" s="1"/>
  <c r="G37" i="1821" s="1"/>
  <c r="N44" i="1821" s="1"/>
  <c r="G10" i="1822" s="1"/>
  <c r="M44" i="1821"/>
  <c r="E10" i="1822"/>
  <c r="C43" i="1822"/>
  <c r="K43" i="1822" s="1"/>
  <c r="C29" i="1822"/>
  <c r="F9" i="1822"/>
  <c r="M43" i="1822" l="1"/>
  <c r="E9" i="1825"/>
  <c r="C36" i="1822"/>
  <c r="G29" i="1822"/>
  <c r="E36" i="1822" s="1"/>
  <c r="G36" i="1822" s="1"/>
  <c r="N43" i="1822" s="1"/>
  <c r="G9" i="1825" s="1"/>
  <c r="E29" i="1825" s="1"/>
  <c r="C44" i="1822"/>
  <c r="K44" i="1822" s="1"/>
  <c r="C30" i="1822"/>
  <c r="C37" i="1822" s="1"/>
  <c r="F10" i="1822"/>
  <c r="E30" i="1822"/>
  <c r="G30" i="1822" s="1"/>
  <c r="E37" i="1822" s="1"/>
  <c r="G37" i="1822" s="1"/>
  <c r="N44" i="1822" s="1"/>
  <c r="G10" i="1825" s="1"/>
  <c r="E30" i="1825" s="1"/>
  <c r="N16" i="1822"/>
  <c r="O16" i="1822" s="1"/>
  <c r="P16" i="1822" s="1"/>
  <c r="P23" i="1822" s="1"/>
  <c r="M44" i="1822" l="1"/>
  <c r="E10" i="1825"/>
  <c r="C43" i="1825"/>
  <c r="K43" i="1825" s="1"/>
  <c r="C29" i="1825"/>
  <c r="F9" i="1825"/>
  <c r="C36" i="1825" l="1"/>
  <c r="G29" i="1825"/>
  <c r="E36" i="1825" s="1"/>
  <c r="G36" i="1825" s="1"/>
  <c r="N43" i="1825" s="1"/>
  <c r="G9" i="1823" s="1"/>
  <c r="M43" i="1825"/>
  <c r="E9" i="1823"/>
  <c r="C44" i="1825"/>
  <c r="K44" i="1825" s="1"/>
  <c r="C30" i="1825"/>
  <c r="F10" i="1825"/>
  <c r="C37" i="1825" l="1"/>
  <c r="G30" i="1825"/>
  <c r="E37" i="1825" s="1"/>
  <c r="G37" i="1825" s="1"/>
  <c r="N44" i="1825" s="1"/>
  <c r="G10" i="1823" s="1"/>
  <c r="E30" i="1823" s="1"/>
  <c r="M44" i="1825"/>
  <c r="E10" i="1823"/>
  <c r="C43" i="1823"/>
  <c r="K43" i="1823" s="1"/>
  <c r="C29" i="1823"/>
  <c r="C36" i="1823" s="1"/>
  <c r="F9" i="1823"/>
  <c r="F17" i="1823"/>
  <c r="G17" i="1823" s="1"/>
  <c r="H17" i="1823" s="1"/>
  <c r="F16" i="1823"/>
  <c r="G16" i="1823" s="1"/>
  <c r="H16" i="1823" s="1"/>
  <c r="H23" i="1823" s="1"/>
  <c r="E29" i="1823"/>
  <c r="G29" i="1823" s="1"/>
  <c r="E36" i="1823" s="1"/>
  <c r="G36" i="1823" s="1"/>
  <c r="N43" i="1823" s="1"/>
  <c r="G9" i="1824" s="1"/>
  <c r="E29" i="1824" l="1"/>
  <c r="F16" i="1824"/>
  <c r="G16" i="1824" s="1"/>
  <c r="H16" i="1824" s="1"/>
  <c r="F17" i="1824"/>
  <c r="G17" i="1824" s="1"/>
  <c r="H17" i="1824" s="1"/>
  <c r="M43" i="1823"/>
  <c r="E9" i="1824"/>
  <c r="C44" i="1823"/>
  <c r="K44" i="1823" s="1"/>
  <c r="C30" i="1823"/>
  <c r="C37" i="1823" s="1"/>
  <c r="F10" i="1823"/>
  <c r="G30" i="1823"/>
  <c r="E37" i="1823" s="1"/>
  <c r="G37" i="1823" s="1"/>
  <c r="N44" i="1823" s="1"/>
  <c r="G10" i="1824" s="1"/>
  <c r="N16" i="1824" l="1"/>
  <c r="O16" i="1824" s="1"/>
  <c r="P16" i="1824" s="1"/>
  <c r="E30" i="1824"/>
  <c r="N17" i="1824"/>
  <c r="O17" i="1824" s="1"/>
  <c r="P17" i="1824" s="1"/>
  <c r="M44" i="1823"/>
  <c r="E10" i="1824"/>
  <c r="C43" i="1824"/>
  <c r="K43" i="1824" s="1"/>
  <c r="C29" i="1824"/>
  <c r="C36" i="1824" s="1"/>
  <c r="F9" i="1824"/>
  <c r="H23" i="1824"/>
  <c r="G29" i="1824"/>
  <c r="E36" i="1824" s="1"/>
  <c r="G36" i="1824" s="1"/>
  <c r="N43" i="1824" s="1"/>
  <c r="G9" i="1834" s="1"/>
  <c r="E29" i="1834" s="1"/>
  <c r="M43" i="1824" l="1"/>
  <c r="E9" i="1834"/>
  <c r="C44" i="1824"/>
  <c r="K44" i="1824" s="1"/>
  <c r="C30" i="1824"/>
  <c r="C37" i="1824" s="1"/>
  <c r="F10" i="1824"/>
  <c r="G30" i="1824"/>
  <c r="E37" i="1824" s="1"/>
  <c r="G37" i="1824" s="1"/>
  <c r="N44" i="1824" s="1"/>
  <c r="G10" i="1834" s="1"/>
  <c r="E30" i="1834" s="1"/>
  <c r="P23" i="1824"/>
  <c r="M44" i="1824" l="1"/>
  <c r="E10" i="1834"/>
  <c r="C43" i="1834"/>
  <c r="K43" i="1834" s="1"/>
  <c r="C29" i="1834"/>
  <c r="F9" i="1834"/>
  <c r="C36" i="1834" l="1"/>
  <c r="G29" i="1834"/>
  <c r="E36" i="1834" s="1"/>
  <c r="G36" i="1834" s="1"/>
  <c r="N43" i="1834" s="1"/>
  <c r="G9" i="1830" s="1"/>
  <c r="E29" i="1830" s="1"/>
  <c r="M43" i="1834"/>
  <c r="E9" i="1830"/>
  <c r="C44" i="1834"/>
  <c r="K44" i="1834" s="1"/>
  <c r="C30" i="1834"/>
  <c r="F10" i="1834"/>
  <c r="C37" i="1834" l="1"/>
  <c r="G30" i="1834"/>
  <c r="E37" i="1834" s="1"/>
  <c r="G37" i="1834" s="1"/>
  <c r="N44" i="1834" s="1"/>
  <c r="G10" i="1830" s="1"/>
  <c r="E30" i="1830" s="1"/>
  <c r="M44" i="1834"/>
  <c r="E10" i="1830"/>
  <c r="C43" i="1830"/>
  <c r="K43" i="1830" s="1"/>
  <c r="C29" i="1830"/>
  <c r="C36" i="1830" s="1"/>
  <c r="F9" i="1830"/>
  <c r="G29" i="1830"/>
  <c r="E36" i="1830" s="1"/>
  <c r="G36" i="1830" s="1"/>
  <c r="N43" i="1830" s="1"/>
  <c r="G9" i="1831" s="1"/>
  <c r="F16" i="1831" l="1"/>
  <c r="G16" i="1831" s="1"/>
  <c r="H16" i="1831" s="1"/>
  <c r="H23" i="1831" s="1"/>
  <c r="E29" i="1831"/>
  <c r="M43" i="1830"/>
  <c r="E9" i="1831"/>
  <c r="C44" i="1830"/>
  <c r="K44" i="1830" s="1"/>
  <c r="C30" i="1830"/>
  <c r="C37" i="1830" s="1"/>
  <c r="F10" i="1830"/>
  <c r="G30" i="1830"/>
  <c r="E37" i="1830" s="1"/>
  <c r="G37" i="1830" s="1"/>
  <c r="N44" i="1830" s="1"/>
  <c r="G10" i="1831" s="1"/>
  <c r="N20" i="1831" l="1"/>
  <c r="O20" i="1831" s="1"/>
  <c r="P20" i="1831" s="1"/>
  <c r="N16" i="1831"/>
  <c r="O16" i="1831" s="1"/>
  <c r="P16" i="1831" s="1"/>
  <c r="E30" i="1831"/>
  <c r="N19" i="1831"/>
  <c r="O19" i="1831" s="1"/>
  <c r="P19" i="1831" s="1"/>
  <c r="N17" i="1831"/>
  <c r="O17" i="1831" s="1"/>
  <c r="P17" i="1831" s="1"/>
  <c r="N18" i="1831"/>
  <c r="O18" i="1831" s="1"/>
  <c r="P18" i="1831" s="1"/>
  <c r="M44" i="1830"/>
  <c r="E10" i="1831"/>
  <c r="C43" i="1831"/>
  <c r="K43" i="1831" s="1"/>
  <c r="C29" i="1831"/>
  <c r="C36" i="1831" s="1"/>
  <c r="F9" i="1831"/>
  <c r="G29" i="1831"/>
  <c r="E36" i="1831" s="1"/>
  <c r="G36" i="1831" s="1"/>
  <c r="N43" i="1831" s="1"/>
  <c r="G9" i="1832" s="1"/>
  <c r="E29" i="1832" s="1"/>
  <c r="M43" i="1831" l="1"/>
  <c r="E9" i="1832"/>
  <c r="C44" i="1831"/>
  <c r="K44" i="1831" s="1"/>
  <c r="C30" i="1831"/>
  <c r="C37" i="1831" s="1"/>
  <c r="F10" i="1831"/>
  <c r="G30" i="1831"/>
  <c r="E37" i="1831" s="1"/>
  <c r="G37" i="1831" s="1"/>
  <c r="N44" i="1831" s="1"/>
  <c r="G10" i="1832" s="1"/>
  <c r="E30" i="1832" s="1"/>
  <c r="P23" i="1831"/>
  <c r="M44" i="1831" l="1"/>
  <c r="E10" i="1832"/>
  <c r="C43" i="1832"/>
  <c r="K43" i="1832" s="1"/>
  <c r="C29" i="1832"/>
  <c r="F9" i="1832"/>
  <c r="C36" i="1832" l="1"/>
  <c r="G29" i="1832"/>
  <c r="E36" i="1832" s="1"/>
  <c r="G36" i="1832" s="1"/>
  <c r="N43" i="1832" s="1"/>
  <c r="G9" i="1833" s="1"/>
  <c r="E29" i="1833" s="1"/>
  <c r="M43" i="1832"/>
  <c r="E9" i="1833"/>
  <c r="C44" i="1832"/>
  <c r="K44" i="1832" s="1"/>
  <c r="C30" i="1832"/>
  <c r="F10" i="1832"/>
  <c r="C37" i="1832" l="1"/>
  <c r="G30" i="1832"/>
  <c r="E37" i="1832" s="1"/>
  <c r="G37" i="1832" s="1"/>
  <c r="N44" i="1832" s="1"/>
  <c r="G10" i="1833" s="1"/>
  <c r="M44" i="1832"/>
  <c r="E10" i="1833"/>
  <c r="C43" i="1833"/>
  <c r="K43" i="1833" s="1"/>
  <c r="C29" i="1833"/>
  <c r="C36" i="1833" s="1"/>
  <c r="F9" i="1833"/>
  <c r="G29" i="1833"/>
  <c r="E36" i="1833" s="1"/>
  <c r="G36" i="1833" s="1"/>
  <c r="N43" i="1833" s="1"/>
  <c r="G9" i="1835" s="1"/>
  <c r="E29" i="1835" s="1"/>
  <c r="M43" i="1833" l="1"/>
  <c r="E9" i="1835"/>
  <c r="C44" i="1833"/>
  <c r="K44" i="1833" s="1"/>
  <c r="C30" i="1833"/>
  <c r="C37" i="1833" s="1"/>
  <c r="F10" i="1833"/>
  <c r="N17" i="1833"/>
  <c r="O17" i="1833" s="1"/>
  <c r="P17" i="1833" s="1"/>
  <c r="N16" i="1833"/>
  <c r="O16" i="1833" s="1"/>
  <c r="P16" i="1833" s="1"/>
  <c r="E30" i="1833"/>
  <c r="G30" i="1833" s="1"/>
  <c r="E37" i="1833" s="1"/>
  <c r="G37" i="1833" s="1"/>
  <c r="N44" i="1833" s="1"/>
  <c r="G10" i="1835" s="1"/>
  <c r="E30" i="1835" s="1"/>
  <c r="N19" i="1833"/>
  <c r="O19" i="1833" s="1"/>
  <c r="P19" i="1833" s="1"/>
  <c r="N18" i="1833"/>
  <c r="O18" i="1833" s="1"/>
  <c r="P18" i="1833" s="1"/>
  <c r="P23" i="1833" l="1"/>
  <c r="M44" i="1833"/>
  <c r="E10" i="1835"/>
  <c r="C43" i="1835"/>
  <c r="K43" i="1835" s="1"/>
  <c r="C29" i="1835"/>
  <c r="F9" i="1835"/>
  <c r="C36" i="1835" l="1"/>
  <c r="G29" i="1835"/>
  <c r="E36" i="1835" s="1"/>
  <c r="G36" i="1835" s="1"/>
  <c r="N43" i="1835" s="1"/>
  <c r="G9" i="1836" s="1"/>
  <c r="E29" i="1836" s="1"/>
  <c r="M43" i="1835"/>
  <c r="E9" i="1836"/>
  <c r="C44" i="1835"/>
  <c r="K44" i="1835" s="1"/>
  <c r="C30" i="1835"/>
  <c r="F10" i="1835"/>
  <c r="C37" i="1835" l="1"/>
  <c r="G30" i="1835"/>
  <c r="E37" i="1835" s="1"/>
  <c r="G37" i="1835" s="1"/>
  <c r="N44" i="1835" s="1"/>
  <c r="G10" i="1836" s="1"/>
  <c r="M44" i="1835"/>
  <c r="E10" i="1836"/>
  <c r="C43" i="1836"/>
  <c r="K43" i="1836" s="1"/>
  <c r="C29" i="1836"/>
  <c r="C36" i="1836" s="1"/>
  <c r="F9" i="1836"/>
  <c r="G29" i="1836"/>
  <c r="E36" i="1836" s="1"/>
  <c r="G36" i="1836" s="1"/>
  <c r="N43" i="1836" s="1"/>
  <c r="G9" i="1837" s="1"/>
  <c r="E29" i="1837" l="1"/>
  <c r="F16" i="1837"/>
  <c r="G16" i="1837" s="1"/>
  <c r="H16" i="1837" s="1"/>
  <c r="H23" i="1837" s="1"/>
  <c r="M43" i="1836"/>
  <c r="E9" i="1837"/>
  <c r="C44" i="1836"/>
  <c r="K44" i="1836" s="1"/>
  <c r="C30" i="1836"/>
  <c r="C37" i="1836" s="1"/>
  <c r="F10" i="1836"/>
  <c r="N19" i="1836"/>
  <c r="O19" i="1836" s="1"/>
  <c r="P19" i="1836" s="1"/>
  <c r="N18" i="1836"/>
  <c r="O18" i="1836" s="1"/>
  <c r="P18" i="1836" s="1"/>
  <c r="N17" i="1836"/>
  <c r="O17" i="1836" s="1"/>
  <c r="P17" i="1836" s="1"/>
  <c r="N16" i="1836"/>
  <c r="O16" i="1836" s="1"/>
  <c r="P16" i="1836" s="1"/>
  <c r="P23" i="1836" s="1"/>
  <c r="E30" i="1836"/>
  <c r="G30" i="1836" s="1"/>
  <c r="E37" i="1836" s="1"/>
  <c r="G37" i="1836" s="1"/>
  <c r="N44" i="1836" s="1"/>
  <c r="G10" i="1837" s="1"/>
  <c r="E30" i="1837" l="1"/>
  <c r="N16" i="1837"/>
  <c r="O16" i="1837" s="1"/>
  <c r="P16" i="1837" s="1"/>
  <c r="P23" i="1837" s="1"/>
  <c r="M44" i="1836"/>
  <c r="E10" i="1837"/>
  <c r="C43" i="1837"/>
  <c r="K43" i="1837" s="1"/>
  <c r="C29" i="1837"/>
  <c r="C36" i="1837" s="1"/>
  <c r="F9" i="1837"/>
  <c r="G29" i="1837"/>
  <c r="E36" i="1837" s="1"/>
  <c r="G36" i="1837" s="1"/>
  <c r="N43" i="1837" s="1"/>
  <c r="G9" i="1838" s="1"/>
  <c r="E29" i="1838" l="1"/>
  <c r="F16" i="1838"/>
  <c r="G16" i="1838" s="1"/>
  <c r="H16" i="1838" s="1"/>
  <c r="H23" i="1838" s="1"/>
  <c r="M43" i="1837"/>
  <c r="E9" i="1838"/>
  <c r="C44" i="1837"/>
  <c r="K44" i="1837" s="1"/>
  <c r="C30" i="1837"/>
  <c r="C37" i="1837" s="1"/>
  <c r="F10" i="1837"/>
  <c r="G30" i="1837"/>
  <c r="E37" i="1837" s="1"/>
  <c r="G37" i="1837" s="1"/>
  <c r="N44" i="1837" s="1"/>
  <c r="G10" i="1838" s="1"/>
  <c r="N18" i="1838" l="1"/>
  <c r="O18" i="1838" s="1"/>
  <c r="P18" i="1838" s="1"/>
  <c r="N17" i="1838"/>
  <c r="O17" i="1838" s="1"/>
  <c r="P17" i="1838" s="1"/>
  <c r="N16" i="1838"/>
  <c r="O16" i="1838" s="1"/>
  <c r="P16" i="1838" s="1"/>
  <c r="P23" i="1838" s="1"/>
  <c r="E30" i="1838"/>
  <c r="M44" i="1837"/>
  <c r="E10" i="1838"/>
  <c r="C43" i="1838"/>
  <c r="K43" i="1838" s="1"/>
  <c r="C29" i="1838"/>
  <c r="C36" i="1838" s="1"/>
  <c r="F9" i="1838"/>
  <c r="G29" i="1838"/>
  <c r="E36" i="1838" s="1"/>
  <c r="G36" i="1838" s="1"/>
  <c r="N43" i="1838" s="1"/>
  <c r="G9" i="1839" s="1"/>
  <c r="F16" i="1839" l="1"/>
  <c r="G16" i="1839" s="1"/>
  <c r="H16" i="1839" s="1"/>
  <c r="H23" i="1839" s="1"/>
  <c r="E29" i="1839"/>
  <c r="M43" i="1838"/>
  <c r="E9" i="1839"/>
  <c r="C44" i="1838"/>
  <c r="K44" i="1838" s="1"/>
  <c r="C30" i="1838"/>
  <c r="C37" i="1838" s="1"/>
  <c r="F10" i="1838"/>
  <c r="G30" i="1838"/>
  <c r="E37" i="1838" s="1"/>
  <c r="G37" i="1838" s="1"/>
  <c r="N44" i="1838" s="1"/>
  <c r="G10" i="1839" s="1"/>
  <c r="E30" i="1839" l="1"/>
  <c r="N16" i="1839"/>
  <c r="O16" i="1839" s="1"/>
  <c r="P16" i="1839" s="1"/>
  <c r="P23" i="1839" s="1"/>
  <c r="M44" i="1838"/>
  <c r="E10" i="1839"/>
  <c r="C43" i="1839"/>
  <c r="K43" i="1839" s="1"/>
  <c r="E9" i="1852" s="1"/>
  <c r="C29" i="1839"/>
  <c r="C36" i="1839" s="1"/>
  <c r="F9" i="1839"/>
  <c r="G29" i="1839"/>
  <c r="E36" i="1839" s="1"/>
  <c r="G36" i="1839" s="1"/>
  <c r="N43" i="1839" s="1"/>
  <c r="G9" i="1852" l="1"/>
  <c r="E29" i="1852" s="1"/>
  <c r="C29" i="1852"/>
  <c r="F9" i="1852"/>
  <c r="C43" i="1852"/>
  <c r="K43" i="1852" s="1"/>
  <c r="M43" i="1839"/>
  <c r="C44" i="1839"/>
  <c r="K44" i="1839" s="1"/>
  <c r="E10" i="1852" s="1"/>
  <c r="C30" i="1839"/>
  <c r="C37" i="1839" s="1"/>
  <c r="F10" i="1839"/>
  <c r="G30" i="1839"/>
  <c r="E37" i="1839" s="1"/>
  <c r="G37" i="1839" s="1"/>
  <c r="N44" i="1839" s="1"/>
  <c r="G10" i="1852" s="1"/>
  <c r="E30" i="1852" s="1"/>
  <c r="C44" i="1852" l="1"/>
  <c r="K44" i="1852" s="1"/>
  <c r="F10" i="1852"/>
  <c r="C30" i="1852"/>
  <c r="M43" i="1852"/>
  <c r="E9" i="1849"/>
  <c r="C36" i="1852"/>
  <c r="G29" i="1852"/>
  <c r="M44" i="1839"/>
  <c r="E36" i="1852" l="1"/>
  <c r="G36" i="1852" s="1"/>
  <c r="N43" i="1852" s="1"/>
  <c r="G9" i="1849" s="1"/>
  <c r="E29" i="1849" s="1"/>
  <c r="C43" i="1849"/>
  <c r="K43" i="1849" s="1"/>
  <c r="C29" i="1849"/>
  <c r="F9" i="1849"/>
  <c r="C37" i="1852"/>
  <c r="G30" i="1852"/>
  <c r="E37" i="1852" s="1"/>
  <c r="G37" i="1852" s="1"/>
  <c r="N44" i="1852" s="1"/>
  <c r="G10" i="1849" s="1"/>
  <c r="E30" i="1849" s="1"/>
  <c r="M44" i="1852"/>
  <c r="E10" i="1849"/>
  <c r="C44" i="1849" l="1"/>
  <c r="K44" i="1849" s="1"/>
  <c r="C30" i="1849"/>
  <c r="C37" i="1849" s="1"/>
  <c r="F10" i="1849"/>
  <c r="G30" i="1849"/>
  <c r="E37" i="1849" s="1"/>
  <c r="G37" i="1849" s="1"/>
  <c r="N44" i="1849" s="1"/>
  <c r="G10" i="1840" s="1"/>
  <c r="C36" i="1849"/>
  <c r="G29" i="1849"/>
  <c r="E36" i="1849" s="1"/>
  <c r="G36" i="1849" s="1"/>
  <c r="N43" i="1849" s="1"/>
  <c r="G9" i="1840" s="1"/>
  <c r="E29" i="1840" s="1"/>
  <c r="M43" i="1849"/>
  <c r="E9" i="1840"/>
  <c r="C43" i="1840" l="1"/>
  <c r="K43" i="1840" s="1"/>
  <c r="C29" i="1840"/>
  <c r="F9" i="1840"/>
  <c r="E30" i="1840"/>
  <c r="N16" i="1840"/>
  <c r="O16" i="1840" s="1"/>
  <c r="P16" i="1840" s="1"/>
  <c r="P23" i="1840" s="1"/>
  <c r="M44" i="1849"/>
  <c r="E10" i="1840"/>
  <c r="C44" i="1840" l="1"/>
  <c r="K44" i="1840" s="1"/>
  <c r="C30" i="1840"/>
  <c r="F10" i="1840"/>
  <c r="C36" i="1840"/>
  <c r="G29" i="1840"/>
  <c r="E36" i="1840" s="1"/>
  <c r="G36" i="1840" s="1"/>
  <c r="N43" i="1840" s="1"/>
  <c r="G9" i="1841" s="1"/>
  <c r="E29" i="1841" s="1"/>
  <c r="M43" i="1840"/>
  <c r="E9" i="1841"/>
  <c r="C43" i="1841" l="1"/>
  <c r="K43" i="1841" s="1"/>
  <c r="C29" i="1841"/>
  <c r="F9" i="1841"/>
  <c r="C37" i="1840"/>
  <c r="G30" i="1840"/>
  <c r="E37" i="1840" s="1"/>
  <c r="G37" i="1840" s="1"/>
  <c r="N44" i="1840" s="1"/>
  <c r="G10" i="1841" s="1"/>
  <c r="E30" i="1841" s="1"/>
  <c r="M44" i="1840"/>
  <c r="E10" i="1841"/>
  <c r="C44" i="1841" l="1"/>
  <c r="K44" i="1841" s="1"/>
  <c r="C30" i="1841"/>
  <c r="F10" i="1841"/>
  <c r="C36" i="1841"/>
  <c r="G29" i="1841"/>
  <c r="E36" i="1841" s="1"/>
  <c r="G36" i="1841" s="1"/>
  <c r="N43" i="1841" s="1"/>
  <c r="G9" i="1842" s="1"/>
  <c r="E29" i="1842" s="1"/>
  <c r="M43" i="1841"/>
  <c r="E9" i="1842"/>
  <c r="C43" i="1842" l="1"/>
  <c r="K43" i="1842" s="1"/>
  <c r="C29" i="1842"/>
  <c r="F9" i="1842"/>
  <c r="C37" i="1841"/>
  <c r="G30" i="1841"/>
  <c r="E37" i="1841" s="1"/>
  <c r="G37" i="1841" s="1"/>
  <c r="N44" i="1841" s="1"/>
  <c r="G10" i="1842" s="1"/>
  <c r="M44" i="1841"/>
  <c r="E10" i="1842"/>
  <c r="C44" i="1842" l="1"/>
  <c r="K44" i="1842" s="1"/>
  <c r="C30" i="1842"/>
  <c r="F10" i="1842"/>
  <c r="N16" i="1842"/>
  <c r="O16" i="1842" s="1"/>
  <c r="P16" i="1842" s="1"/>
  <c r="P23" i="1842" s="1"/>
  <c r="E30" i="1842"/>
  <c r="C36" i="1842"/>
  <c r="G29" i="1842"/>
  <c r="E36" i="1842" s="1"/>
  <c r="G36" i="1842" s="1"/>
  <c r="N43" i="1842" s="1"/>
  <c r="G9" i="1843" s="1"/>
  <c r="E29" i="1843" s="1"/>
  <c r="M43" i="1842"/>
  <c r="E9" i="1843"/>
  <c r="C43" i="1843" l="1"/>
  <c r="K43" i="1843" s="1"/>
  <c r="C29" i="1843"/>
  <c r="F9" i="1843"/>
  <c r="C37" i="1842"/>
  <c r="G30" i="1842"/>
  <c r="E37" i="1842" s="1"/>
  <c r="G37" i="1842" s="1"/>
  <c r="N44" i="1842" s="1"/>
  <c r="G10" i="1843" s="1"/>
  <c r="M44" i="1842"/>
  <c r="E10" i="1843"/>
  <c r="C44" i="1843" l="1"/>
  <c r="K44" i="1843" s="1"/>
  <c r="C30" i="1843"/>
  <c r="F10" i="1843"/>
  <c r="E30" i="1843"/>
  <c r="N16" i="1843"/>
  <c r="O16" i="1843" s="1"/>
  <c r="P16" i="1843" s="1"/>
  <c r="P23" i="1843" s="1"/>
  <c r="C36" i="1843"/>
  <c r="G29" i="1843"/>
  <c r="E36" i="1843" s="1"/>
  <c r="G36" i="1843" s="1"/>
  <c r="N43" i="1843" s="1"/>
  <c r="G9" i="1844" s="1"/>
  <c r="E29" i="1844" s="1"/>
  <c r="M43" i="1843"/>
  <c r="E9" i="1844"/>
  <c r="C43" i="1844" l="1"/>
  <c r="K43" i="1844" s="1"/>
  <c r="C29" i="1844"/>
  <c r="F9" i="1844"/>
  <c r="C37" i="1843"/>
  <c r="G30" i="1843"/>
  <c r="E37" i="1843" s="1"/>
  <c r="G37" i="1843" s="1"/>
  <c r="N44" i="1843" s="1"/>
  <c r="G10" i="1844" s="1"/>
  <c r="E30" i="1844" s="1"/>
  <c r="M44" i="1843"/>
  <c r="E10" i="1844"/>
  <c r="C44" i="1844" l="1"/>
  <c r="K44" i="1844" s="1"/>
  <c r="C30" i="1844"/>
  <c r="F10" i="1844"/>
  <c r="C36" i="1844"/>
  <c r="G29" i="1844"/>
  <c r="E36" i="1844" s="1"/>
  <c r="G36" i="1844" s="1"/>
  <c r="N43" i="1844" s="1"/>
  <c r="G9" i="1845" s="1"/>
  <c r="M43" i="1844"/>
  <c r="E9" i="1845"/>
  <c r="C43" i="1845" l="1"/>
  <c r="K43" i="1845" s="1"/>
  <c r="C29" i="1845"/>
  <c r="F9" i="1845"/>
  <c r="E29" i="1845"/>
  <c r="F16" i="1845"/>
  <c r="G16" i="1845" s="1"/>
  <c r="H16" i="1845" s="1"/>
  <c r="H23" i="1845" s="1"/>
  <c r="C37" i="1844"/>
  <c r="G30" i="1844"/>
  <c r="E37" i="1844" s="1"/>
  <c r="G37" i="1844" s="1"/>
  <c r="N44" i="1844" s="1"/>
  <c r="G10" i="1845" s="1"/>
  <c r="M44" i="1844"/>
  <c r="E10" i="1845"/>
  <c r="C44" i="1845" l="1"/>
  <c r="K44" i="1845" s="1"/>
  <c r="C30" i="1845"/>
  <c r="F10" i="1845"/>
  <c r="N22" i="1845"/>
  <c r="O22" i="1845" s="1"/>
  <c r="P22" i="1845" s="1"/>
  <c r="N21" i="1845"/>
  <c r="O21" i="1845" s="1"/>
  <c r="P21" i="1845" s="1"/>
  <c r="N20" i="1845"/>
  <c r="O20" i="1845" s="1"/>
  <c r="P20" i="1845" s="1"/>
  <c r="E30" i="1845"/>
  <c r="N19" i="1845"/>
  <c r="O19" i="1845" s="1"/>
  <c r="P19" i="1845" s="1"/>
  <c r="N18" i="1845"/>
  <c r="O18" i="1845" s="1"/>
  <c r="P18" i="1845" s="1"/>
  <c r="N17" i="1845"/>
  <c r="O17" i="1845" s="1"/>
  <c r="P17" i="1845" s="1"/>
  <c r="N16" i="1845"/>
  <c r="O16" i="1845" s="1"/>
  <c r="P16" i="1845" s="1"/>
  <c r="P23" i="1845" s="1"/>
  <c r="C36" i="1845"/>
  <c r="G29" i="1845"/>
  <c r="E36" i="1845" s="1"/>
  <c r="G36" i="1845" s="1"/>
  <c r="N43" i="1845" s="1"/>
  <c r="G9" i="1846" s="1"/>
  <c r="E29" i="1846" s="1"/>
  <c r="M43" i="1845"/>
  <c r="E9" i="1846"/>
  <c r="C43" i="1846" l="1"/>
  <c r="K43" i="1846" s="1"/>
  <c r="C29" i="1846"/>
  <c r="F9" i="1846"/>
  <c r="C37" i="1845"/>
  <c r="G30" i="1845"/>
  <c r="E37" i="1845" s="1"/>
  <c r="G37" i="1845" s="1"/>
  <c r="N44" i="1845" s="1"/>
  <c r="G10" i="1846" s="1"/>
  <c r="M44" i="1845"/>
  <c r="E10" i="1846"/>
  <c r="C44" i="1846" l="1"/>
  <c r="K44" i="1846" s="1"/>
  <c r="C30" i="1846"/>
  <c r="F10" i="1846"/>
  <c r="E30" i="1846"/>
  <c r="N20" i="1846"/>
  <c r="O20" i="1846" s="1"/>
  <c r="P20" i="1846" s="1"/>
  <c r="N19" i="1846"/>
  <c r="O19" i="1846" s="1"/>
  <c r="P19" i="1846" s="1"/>
  <c r="N18" i="1846"/>
  <c r="O18" i="1846" s="1"/>
  <c r="P18" i="1846" s="1"/>
  <c r="N16" i="1846"/>
  <c r="O16" i="1846" s="1"/>
  <c r="P16" i="1846" s="1"/>
  <c r="N17" i="1846"/>
  <c r="O17" i="1846" s="1"/>
  <c r="P17" i="1846" s="1"/>
  <c r="P23" i="1846" s="1"/>
  <c r="C36" i="1846"/>
  <c r="G29" i="1846"/>
  <c r="E36" i="1846" s="1"/>
  <c r="G36" i="1846" s="1"/>
  <c r="N43" i="1846" s="1"/>
  <c r="G9" i="1847" s="1"/>
  <c r="E29" i="1847" s="1"/>
  <c r="M43" i="1846"/>
  <c r="E9" i="1847"/>
  <c r="C43" i="1847" l="1"/>
  <c r="K43" i="1847" s="1"/>
  <c r="C29" i="1847"/>
  <c r="F9" i="1847"/>
  <c r="C37" i="1846"/>
  <c r="G30" i="1846"/>
  <c r="E37" i="1846" s="1"/>
  <c r="G37" i="1846" s="1"/>
  <c r="N44" i="1846" s="1"/>
  <c r="G10" i="1847" s="1"/>
  <c r="M44" i="1846"/>
  <c r="E10" i="1847"/>
  <c r="C44" i="1847" l="1"/>
  <c r="K44" i="1847" s="1"/>
  <c r="C30" i="1847"/>
  <c r="F10" i="1847"/>
  <c r="E30" i="1847"/>
  <c r="N17" i="1847"/>
  <c r="O17" i="1847" s="1"/>
  <c r="P17" i="1847" s="1"/>
  <c r="N16" i="1847"/>
  <c r="O16" i="1847" s="1"/>
  <c r="P16" i="1847" s="1"/>
  <c r="P23" i="1847" s="1"/>
  <c r="C36" i="1847"/>
  <c r="G29" i="1847"/>
  <c r="E36" i="1847" s="1"/>
  <c r="G36" i="1847" s="1"/>
  <c r="N43" i="1847" s="1"/>
  <c r="G9" i="1848" s="1"/>
  <c r="E29" i="1848" s="1"/>
  <c r="M43" i="1847"/>
  <c r="E9" i="1848"/>
  <c r="C43" i="1848" l="1"/>
  <c r="K43" i="1848" s="1"/>
  <c r="C29" i="1848"/>
  <c r="F9" i="1848"/>
  <c r="C37" i="1847"/>
  <c r="G30" i="1847"/>
  <c r="E37" i="1847" s="1"/>
  <c r="G37" i="1847" s="1"/>
  <c r="N44" i="1847" s="1"/>
  <c r="G10" i="1848" s="1"/>
  <c r="E30" i="1848" s="1"/>
  <c r="M44" i="1847"/>
  <c r="E10" i="1848"/>
  <c r="C44" i="1848" l="1"/>
  <c r="K44" i="1848" s="1"/>
  <c r="C30" i="1848"/>
  <c r="F10" i="1848"/>
  <c r="C36" i="1848"/>
  <c r="G29" i="1848"/>
  <c r="E36" i="1848" s="1"/>
  <c r="G36" i="1848" s="1"/>
  <c r="N43" i="1848" s="1"/>
  <c r="G9" i="1850" s="1"/>
  <c r="E29" i="1850" s="1"/>
  <c r="M43" i="1848"/>
  <c r="E9" i="1850"/>
  <c r="F9" i="1850" l="1"/>
  <c r="C43" i="1850"/>
  <c r="K43" i="1850" s="1"/>
  <c r="C29" i="1850"/>
  <c r="C37" i="1848"/>
  <c r="G30" i="1848"/>
  <c r="E37" i="1848" s="1"/>
  <c r="G37" i="1848" s="1"/>
  <c r="N44" i="1848" s="1"/>
  <c r="G10" i="1850" s="1"/>
  <c r="M44" i="1848"/>
  <c r="E10" i="1850"/>
  <c r="C30" i="1850" l="1"/>
  <c r="F10" i="1850"/>
  <c r="C44" i="1850"/>
  <c r="K44" i="1850" s="1"/>
  <c r="N17" i="1850"/>
  <c r="O17" i="1850" s="1"/>
  <c r="P17" i="1850" s="1"/>
  <c r="N16" i="1850"/>
  <c r="O16" i="1850" s="1"/>
  <c r="P16" i="1850" s="1"/>
  <c r="P23" i="1850" s="1"/>
  <c r="E30" i="1850"/>
  <c r="C36" i="1850"/>
  <c r="G29" i="1850"/>
  <c r="E36" i="1850" s="1"/>
  <c r="G36" i="1850" s="1"/>
  <c r="N43" i="1850" s="1"/>
  <c r="E9" i="1853"/>
  <c r="M43" i="1850"/>
  <c r="C29" i="1853" l="1"/>
  <c r="F9" i="1853"/>
  <c r="C43" i="1853"/>
  <c r="K43" i="1853" s="1"/>
  <c r="G9" i="1853"/>
  <c r="E29" i="1853" s="1"/>
  <c r="E10" i="1853"/>
  <c r="M44" i="1850"/>
  <c r="C37" i="1850"/>
  <c r="G30" i="1850"/>
  <c r="E37" i="1850" s="1"/>
  <c r="G37" i="1850" s="1"/>
  <c r="N44" i="1850" s="1"/>
  <c r="G10" i="1853" l="1"/>
  <c r="E30" i="1853" s="1"/>
  <c r="F10" i="1853"/>
  <c r="C30" i="1853"/>
  <c r="C44" i="1853"/>
  <c r="K44" i="1853" s="1"/>
  <c r="M43" i="1853"/>
  <c r="E9" i="1851"/>
  <c r="C36" i="1853"/>
  <c r="G29" i="1853"/>
  <c r="E36" i="1853" l="1"/>
  <c r="G36" i="1853" s="1"/>
  <c r="N43" i="1853" s="1"/>
  <c r="G9" i="1851" s="1"/>
  <c r="E29" i="1851" s="1"/>
  <c r="C29" i="1851"/>
  <c r="F9" i="1851"/>
  <c r="C43" i="1851"/>
  <c r="K43" i="1851" s="1"/>
  <c r="M44" i="1853"/>
  <c r="E10" i="1851"/>
  <c r="G30" i="1853"/>
  <c r="E37" i="1853" s="1"/>
  <c r="C37" i="1853"/>
  <c r="M43" i="1851" l="1"/>
  <c r="E9" i="1854"/>
  <c r="G37" i="1853"/>
  <c r="N44" i="1853" s="1"/>
  <c r="G10" i="1851" s="1"/>
  <c r="F10" i="1851"/>
  <c r="C30" i="1851"/>
  <c r="C44" i="1851"/>
  <c r="K44" i="1851" s="1"/>
  <c r="C36" i="1851"/>
  <c r="G29" i="1851"/>
  <c r="E36" i="1851" s="1"/>
  <c r="G36" i="1851" s="1"/>
  <c r="N43" i="1851" s="1"/>
  <c r="G9" i="1854" s="1"/>
  <c r="M44" i="1851" l="1"/>
  <c r="E10" i="1854"/>
  <c r="C43" i="1854"/>
  <c r="K43" i="1854" s="1"/>
  <c r="C29" i="1854"/>
  <c r="C36" i="1854" s="1"/>
  <c r="F9" i="1854"/>
  <c r="F16" i="1854"/>
  <c r="G16" i="1854" s="1"/>
  <c r="H16" i="1854" s="1"/>
  <c r="H23" i="1854" s="1"/>
  <c r="E29" i="1854"/>
  <c r="G29" i="1854" s="1"/>
  <c r="E36" i="1854" s="1"/>
  <c r="G36" i="1854" s="1"/>
  <c r="N43" i="1854" s="1"/>
  <c r="G9" i="1855" s="1"/>
  <c r="E29" i="1855" s="1"/>
  <c r="C37" i="1851"/>
  <c r="E30" i="1851"/>
  <c r="G30" i="1851" s="1"/>
  <c r="E37" i="1851" s="1"/>
  <c r="G37" i="1851" s="1"/>
  <c r="N44" i="1851" s="1"/>
  <c r="G10" i="1854" s="1"/>
  <c r="N16" i="1851"/>
  <c r="O16" i="1851" s="1"/>
  <c r="P16" i="1851" s="1"/>
  <c r="P23" i="1851" s="1"/>
  <c r="E30" i="1854" l="1"/>
  <c r="N16" i="1854"/>
  <c r="O16" i="1854" s="1"/>
  <c r="P16" i="1854" s="1"/>
  <c r="P23" i="1854" s="1"/>
  <c r="M43" i="1854"/>
  <c r="E9" i="1855"/>
  <c r="C44" i="1854"/>
  <c r="K44" i="1854" s="1"/>
  <c r="C30" i="1854"/>
  <c r="F10" i="1854"/>
  <c r="C37" i="1854" l="1"/>
  <c r="G30" i="1854"/>
  <c r="E37" i="1854" s="1"/>
  <c r="G37" i="1854" s="1"/>
  <c r="N44" i="1854" s="1"/>
  <c r="G10" i="1855" s="1"/>
  <c r="E30" i="1855" s="1"/>
  <c r="M44" i="1854"/>
  <c r="E10" i="1855"/>
  <c r="C43" i="1855"/>
  <c r="K43" i="1855" s="1"/>
  <c r="C29" i="1855"/>
  <c r="F9" i="1855"/>
  <c r="C36" i="1855" l="1"/>
  <c r="G29" i="1855"/>
  <c r="E36" i="1855" s="1"/>
  <c r="G36" i="1855" s="1"/>
  <c r="N43" i="1855" s="1"/>
  <c r="G9" i="1856" s="1"/>
  <c r="E29" i="1856" s="1"/>
  <c r="M43" i="1855"/>
  <c r="E9" i="1856"/>
  <c r="C44" i="1855"/>
  <c r="K44" i="1855" s="1"/>
  <c r="C30" i="1855"/>
  <c r="F10" i="1855"/>
  <c r="C37" i="1855" l="1"/>
  <c r="G30" i="1855"/>
  <c r="E37" i="1855" s="1"/>
  <c r="G37" i="1855" s="1"/>
  <c r="N44" i="1855" s="1"/>
  <c r="G10" i="1856" s="1"/>
  <c r="E30" i="1856" s="1"/>
  <c r="M44" i="1855"/>
  <c r="E10" i="1856"/>
  <c r="C43" i="1856"/>
  <c r="K43" i="1856" s="1"/>
  <c r="C29" i="1856"/>
  <c r="C36" i="1856" s="1"/>
  <c r="F9" i="1856"/>
  <c r="G29" i="1856"/>
  <c r="E36" i="1856" s="1"/>
  <c r="G36" i="1856" s="1"/>
  <c r="N43" i="1856" s="1"/>
  <c r="G9" i="1857" s="1"/>
  <c r="E29" i="1857" s="1"/>
  <c r="M43" i="1856" l="1"/>
  <c r="E9" i="1857"/>
  <c r="C44" i="1856"/>
  <c r="K44" i="1856" s="1"/>
  <c r="C30" i="1856"/>
  <c r="C37" i="1856" s="1"/>
  <c r="F10" i="1856"/>
  <c r="G30" i="1856"/>
  <c r="E37" i="1856" s="1"/>
  <c r="G37" i="1856" s="1"/>
  <c r="N44" i="1856" s="1"/>
  <c r="G10" i="1857" s="1"/>
  <c r="N18" i="1857" l="1"/>
  <c r="O18" i="1857" s="1"/>
  <c r="P18" i="1857" s="1"/>
  <c r="N16" i="1857"/>
  <c r="O16" i="1857" s="1"/>
  <c r="P16" i="1857" s="1"/>
  <c r="N17" i="1857"/>
  <c r="O17" i="1857" s="1"/>
  <c r="P17" i="1857" s="1"/>
  <c r="E30" i="1857"/>
  <c r="M44" i="1856"/>
  <c r="E10" i="1857"/>
  <c r="C43" i="1857"/>
  <c r="K43" i="1857" s="1"/>
  <c r="C29" i="1857"/>
  <c r="F9" i="1857"/>
  <c r="C36" i="1857" l="1"/>
  <c r="G29" i="1857"/>
  <c r="E36" i="1857" s="1"/>
  <c r="G36" i="1857" s="1"/>
  <c r="N43" i="1857" s="1"/>
  <c r="G9" i="1858" s="1"/>
  <c r="E29" i="1858" s="1"/>
  <c r="M43" i="1857"/>
  <c r="E9" i="1858"/>
  <c r="C44" i="1857"/>
  <c r="K44" i="1857" s="1"/>
  <c r="C30" i="1857"/>
  <c r="C37" i="1857" s="1"/>
  <c r="F10" i="1857"/>
  <c r="G30" i="1857"/>
  <c r="E37" i="1857" s="1"/>
  <c r="G37" i="1857" s="1"/>
  <c r="N44" i="1857" s="1"/>
  <c r="G10" i="1858" s="1"/>
  <c r="E30" i="1858" s="1"/>
  <c r="P23" i="1857"/>
  <c r="M44" i="1857" l="1"/>
  <c r="E10" i="1858"/>
  <c r="C43" i="1858"/>
  <c r="K43" i="1858" s="1"/>
  <c r="C29" i="1858"/>
  <c r="C36" i="1858" s="1"/>
  <c r="F9" i="1858"/>
  <c r="G29" i="1858"/>
  <c r="E36" i="1858" s="1"/>
  <c r="G36" i="1858" s="1"/>
  <c r="N43" i="1858" s="1"/>
  <c r="G9" i="1859" s="1"/>
  <c r="E29" i="1859" s="1"/>
  <c r="M43" i="1858" l="1"/>
  <c r="E9" i="1859"/>
  <c r="C44" i="1858"/>
  <c r="K44" i="1858" s="1"/>
  <c r="C30" i="1858"/>
  <c r="F10" i="1858"/>
  <c r="C37" i="1858" l="1"/>
  <c r="G30" i="1858"/>
  <c r="E37" i="1858" s="1"/>
  <c r="G37" i="1858" s="1"/>
  <c r="N44" i="1858" s="1"/>
  <c r="G10" i="1859" s="1"/>
  <c r="M44" i="1858"/>
  <c r="E10" i="1859"/>
  <c r="C43" i="1859"/>
  <c r="K43" i="1859" s="1"/>
  <c r="C29" i="1859"/>
  <c r="F9" i="1859"/>
  <c r="C36" i="1859" l="1"/>
  <c r="G29" i="1859"/>
  <c r="E36" i="1859" s="1"/>
  <c r="G36" i="1859" s="1"/>
  <c r="N43" i="1859" s="1"/>
  <c r="G9" i="1860" s="1"/>
  <c r="E29" i="1860" s="1"/>
  <c r="M43" i="1859"/>
  <c r="E9" i="1860"/>
  <c r="C44" i="1859"/>
  <c r="K44" i="1859" s="1"/>
  <c r="C30" i="1859"/>
  <c r="C37" i="1859" s="1"/>
  <c r="F10" i="1859"/>
  <c r="E30" i="1859"/>
  <c r="G30" i="1859" s="1"/>
  <c r="E37" i="1859" s="1"/>
  <c r="G37" i="1859" s="1"/>
  <c r="N44" i="1859" s="1"/>
  <c r="G10" i="1860" s="1"/>
  <c r="E30" i="1860" s="1"/>
  <c r="N17" i="1859"/>
  <c r="O17" i="1859" s="1"/>
  <c r="P17" i="1859" s="1"/>
  <c r="N16" i="1859"/>
  <c r="O16" i="1859" s="1"/>
  <c r="P16" i="1859" s="1"/>
  <c r="P23" i="1859" s="1"/>
  <c r="M44" i="1859" l="1"/>
  <c r="E10" i="1860"/>
  <c r="C43" i="1860"/>
  <c r="K43" i="1860" s="1"/>
  <c r="C29" i="1860"/>
  <c r="C36" i="1860" s="1"/>
  <c r="F9" i="1860"/>
  <c r="G29" i="1860"/>
  <c r="E36" i="1860" s="1"/>
  <c r="G36" i="1860" s="1"/>
  <c r="N43" i="1860" s="1"/>
  <c r="G9" i="1861" s="1"/>
  <c r="E29" i="1861" s="1"/>
  <c r="M43" i="1860" l="1"/>
  <c r="E9" i="1861"/>
  <c r="C44" i="1860"/>
  <c r="K44" i="1860" s="1"/>
  <c r="C30" i="1860"/>
  <c r="F10" i="1860"/>
  <c r="C37" i="1860" l="1"/>
  <c r="G30" i="1860"/>
  <c r="E37" i="1860" s="1"/>
  <c r="G37" i="1860" s="1"/>
  <c r="N44" i="1860" s="1"/>
  <c r="G10" i="1861" s="1"/>
  <c r="E30" i="1861" s="1"/>
  <c r="M44" i="1860"/>
  <c r="E10" i="1861"/>
  <c r="C43" i="1861"/>
  <c r="K43" i="1861" s="1"/>
  <c r="C29" i="1861"/>
  <c r="F9" i="1861"/>
  <c r="C36" i="1861" l="1"/>
  <c r="G29" i="1861"/>
  <c r="E36" i="1861" s="1"/>
  <c r="G36" i="1861" s="1"/>
  <c r="N43" i="1861" s="1"/>
  <c r="G9" i="1862" s="1"/>
  <c r="E29" i="1862" s="1"/>
  <c r="M43" i="1861"/>
  <c r="E9" i="1862"/>
  <c r="C44" i="1861"/>
  <c r="K44" i="1861" s="1"/>
  <c r="C30" i="1861"/>
  <c r="C37" i="1861" s="1"/>
  <c r="F10" i="1861"/>
  <c r="G30" i="1861"/>
  <c r="E37" i="1861" s="1"/>
  <c r="G37" i="1861" s="1"/>
  <c r="N44" i="1861" s="1"/>
  <c r="G10" i="1862" s="1"/>
  <c r="E30" i="1862" l="1"/>
  <c r="N16" i="1862"/>
  <c r="O16" i="1862" s="1"/>
  <c r="P16" i="1862" s="1"/>
  <c r="P23" i="1862" s="1"/>
  <c r="M44" i="1861"/>
  <c r="E10" i="1862"/>
  <c r="C43" i="1862"/>
  <c r="K43" i="1862" s="1"/>
  <c r="C29" i="1862"/>
  <c r="C36" i="1862" s="1"/>
  <c r="F9" i="1862"/>
  <c r="G29" i="1862"/>
  <c r="E36" i="1862" s="1"/>
  <c r="G36" i="1862" s="1"/>
  <c r="N43" i="1862" s="1"/>
  <c r="G9" i="1863" s="1"/>
  <c r="E29" i="1863" s="1"/>
  <c r="M43" i="1862" l="1"/>
  <c r="E9" i="1863"/>
  <c r="C44" i="1862"/>
  <c r="K44" i="1862" s="1"/>
  <c r="C30" i="1862"/>
  <c r="C37" i="1862" s="1"/>
  <c r="F10" i="1862"/>
  <c r="G30" i="1862"/>
  <c r="E37" i="1862" s="1"/>
  <c r="G37" i="1862" s="1"/>
  <c r="N44" i="1862" s="1"/>
  <c r="G10" i="1863" s="1"/>
  <c r="E30" i="1863" s="1"/>
  <c r="M44" i="1862" l="1"/>
  <c r="E10" i="1863"/>
  <c r="C43" i="1863"/>
  <c r="K43" i="1863" s="1"/>
  <c r="C29" i="1863"/>
  <c r="F9" i="1863"/>
  <c r="C36" i="1863" l="1"/>
  <c r="G29" i="1863"/>
  <c r="E36" i="1863" s="1"/>
  <c r="G36" i="1863" s="1"/>
  <c r="N43" i="1863" s="1"/>
  <c r="G9" i="1864" s="1"/>
  <c r="E29" i="1864" s="1"/>
  <c r="M43" i="1863"/>
  <c r="E9" i="1864"/>
  <c r="C44" i="1863"/>
  <c r="K44" i="1863" s="1"/>
  <c r="C30" i="1863"/>
  <c r="F10" i="1863"/>
  <c r="C37" i="1863" l="1"/>
  <c r="G30" i="1863"/>
  <c r="E37" i="1863" s="1"/>
  <c r="G37" i="1863" s="1"/>
  <c r="N44" i="1863" s="1"/>
  <c r="G10" i="1864" s="1"/>
  <c r="M44" i="1863"/>
  <c r="E10" i="1864"/>
  <c r="C43" i="1864"/>
  <c r="K43" i="1864" s="1"/>
  <c r="C29" i="1864"/>
  <c r="C36" i="1864" s="1"/>
  <c r="F9" i="1864"/>
  <c r="G29" i="1864"/>
  <c r="E36" i="1864" s="1"/>
  <c r="G36" i="1864" s="1"/>
  <c r="N43" i="1864" s="1"/>
  <c r="G9" i="1865" s="1"/>
  <c r="E29" i="1865" s="1"/>
  <c r="M43" i="1864" l="1"/>
  <c r="E9" i="1865"/>
  <c r="C44" i="1864"/>
  <c r="K44" i="1864" s="1"/>
  <c r="C30" i="1864"/>
  <c r="C37" i="1864" s="1"/>
  <c r="F10" i="1864"/>
  <c r="N16" i="1864"/>
  <c r="O16" i="1864" s="1"/>
  <c r="P16" i="1864" s="1"/>
  <c r="P23" i="1864" s="1"/>
  <c r="E30" i="1864"/>
  <c r="G30" i="1864" s="1"/>
  <c r="E37" i="1864" s="1"/>
  <c r="G37" i="1864" s="1"/>
  <c r="N44" i="1864" s="1"/>
  <c r="G10" i="1865" s="1"/>
  <c r="N17" i="1865" l="1"/>
  <c r="O17" i="1865" s="1"/>
  <c r="P17" i="1865" s="1"/>
  <c r="N16" i="1865"/>
  <c r="O16" i="1865" s="1"/>
  <c r="P16" i="1865" s="1"/>
  <c r="P23" i="1865" s="1"/>
  <c r="E30" i="1865"/>
  <c r="M44" i="1864"/>
  <c r="E10" i="1865"/>
  <c r="C43" i="1865"/>
  <c r="K43" i="1865" s="1"/>
  <c r="C29" i="1865"/>
  <c r="F9" i="1865"/>
  <c r="C36" i="1865" l="1"/>
  <c r="G29" i="1865"/>
  <c r="E36" i="1865" s="1"/>
  <c r="G36" i="1865" s="1"/>
  <c r="N43" i="1865" s="1"/>
  <c r="G9" i="1866" s="1"/>
  <c r="E29" i="1866" s="1"/>
  <c r="M43" i="1865"/>
  <c r="E9" i="1866"/>
  <c r="C44" i="1865"/>
  <c r="K44" i="1865" s="1"/>
  <c r="C30" i="1865"/>
  <c r="C37" i="1865" s="1"/>
  <c r="F10" i="1865"/>
  <c r="G30" i="1865"/>
  <c r="E37" i="1865" s="1"/>
  <c r="G37" i="1865" s="1"/>
  <c r="N44" i="1865" s="1"/>
  <c r="G10" i="1866" s="1"/>
  <c r="E30" i="1866" s="1"/>
  <c r="M44" i="1865" l="1"/>
  <c r="E10" i="1866"/>
  <c r="C43" i="1866"/>
  <c r="K43" i="1866" s="1"/>
  <c r="C29" i="1866"/>
  <c r="C36" i="1866" s="1"/>
  <c r="F9" i="1866"/>
  <c r="G29" i="1866"/>
  <c r="E36" i="1866" s="1"/>
  <c r="G36" i="1866" s="1"/>
  <c r="N43" i="1866" s="1"/>
  <c r="G9" i="1867" s="1"/>
  <c r="E29" i="1867" s="1"/>
  <c r="M43" i="1866" l="1"/>
  <c r="E9" i="1867"/>
  <c r="C44" i="1866"/>
  <c r="K44" i="1866" s="1"/>
  <c r="C30" i="1866"/>
  <c r="F10" i="1866"/>
  <c r="C37" i="1866" l="1"/>
  <c r="G30" i="1866"/>
  <c r="E37" i="1866" s="1"/>
  <c r="G37" i="1866" s="1"/>
  <c r="N44" i="1866" s="1"/>
  <c r="G10" i="1867" s="1"/>
  <c r="M44" i="1866"/>
  <c r="E10" i="1867"/>
  <c r="C43" i="1867"/>
  <c r="K43" i="1867" s="1"/>
  <c r="C29" i="1867"/>
  <c r="F9" i="1867"/>
  <c r="C36" i="1867" l="1"/>
  <c r="G29" i="1867"/>
  <c r="E36" i="1867" s="1"/>
  <c r="G36" i="1867" s="1"/>
  <c r="N43" i="1867" s="1"/>
  <c r="G9" i="1868" s="1"/>
  <c r="E29" i="1868" s="1"/>
  <c r="M43" i="1867"/>
  <c r="E9" i="1868"/>
  <c r="C44" i="1867"/>
  <c r="K44" i="1867" s="1"/>
  <c r="C30" i="1867"/>
  <c r="C37" i="1867" s="1"/>
  <c r="F10" i="1867"/>
  <c r="E30" i="1867"/>
  <c r="G30" i="1867" s="1"/>
  <c r="E37" i="1867" s="1"/>
  <c r="G37" i="1867" s="1"/>
  <c r="N44" i="1867" s="1"/>
  <c r="G10" i="1868" s="1"/>
  <c r="E30" i="1868" s="1"/>
  <c r="N16" i="1867"/>
  <c r="O16" i="1867" s="1"/>
  <c r="P16" i="1867" s="1"/>
  <c r="P23" i="1867" s="1"/>
  <c r="M44" i="1867" l="1"/>
  <c r="E10" i="1868"/>
  <c r="C43" i="1868"/>
  <c r="K43" i="1868" s="1"/>
  <c r="C29" i="1868"/>
  <c r="C36" i="1868" s="1"/>
  <c r="F9" i="1868"/>
  <c r="G29" i="1868"/>
  <c r="E36" i="1868" s="1"/>
  <c r="G36" i="1868" s="1"/>
  <c r="N43" i="1868" s="1"/>
  <c r="G9" i="1873" s="1"/>
  <c r="E29" i="1873" s="1"/>
  <c r="M43" i="1868" l="1"/>
  <c r="E9" i="1873"/>
  <c r="C44" i="1868"/>
  <c r="K44" i="1868" s="1"/>
  <c r="C30" i="1868"/>
  <c r="F10" i="1868"/>
  <c r="C37" i="1868" l="1"/>
  <c r="G30" i="1868"/>
  <c r="E37" i="1868" s="1"/>
  <c r="G37" i="1868" s="1"/>
  <c r="N44" i="1868" s="1"/>
  <c r="G10" i="1873" s="1"/>
  <c r="M44" i="1868"/>
  <c r="E10" i="1873"/>
  <c r="C29" i="1873"/>
  <c r="C43" i="1873"/>
  <c r="K43" i="1873" s="1"/>
  <c r="F9" i="1873"/>
  <c r="M43" i="1873" l="1"/>
  <c r="E9" i="1875"/>
  <c r="C36" i="1873"/>
  <c r="G29" i="1873"/>
  <c r="E36" i="1873" s="1"/>
  <c r="G36" i="1873" s="1"/>
  <c r="N43" i="1873" s="1"/>
  <c r="G9" i="1875" s="1"/>
  <c r="E29" i="1875" s="1"/>
  <c r="C44" i="1873"/>
  <c r="K44" i="1873" s="1"/>
  <c r="F10" i="1873"/>
  <c r="C30" i="1873"/>
  <c r="C37" i="1873" s="1"/>
  <c r="N16" i="1873"/>
  <c r="O16" i="1873" s="1"/>
  <c r="P16" i="1873" s="1"/>
  <c r="P23" i="1873" s="1"/>
  <c r="E30" i="1873"/>
  <c r="G30" i="1873" s="1"/>
  <c r="E37" i="1873" s="1"/>
  <c r="G37" i="1873" s="1"/>
  <c r="N44" i="1873" s="1"/>
  <c r="G10" i="1875" s="1"/>
  <c r="E30" i="1875" l="1"/>
  <c r="N16" i="1875"/>
  <c r="O16" i="1875" s="1"/>
  <c r="P16" i="1875" s="1"/>
  <c r="P23" i="1875" s="1"/>
  <c r="M44" i="1873"/>
  <c r="E10" i="1875"/>
  <c r="C29" i="1875"/>
  <c r="F9" i="1875"/>
  <c r="C43" i="1875"/>
  <c r="K43" i="1875" s="1"/>
  <c r="M43" i="1875" l="1"/>
  <c r="E9" i="1874"/>
  <c r="C36" i="1875"/>
  <c r="G29" i="1875"/>
  <c r="E36" i="1875" s="1"/>
  <c r="G36" i="1875" s="1"/>
  <c r="N43" i="1875" s="1"/>
  <c r="G9" i="1874" s="1"/>
  <c r="E29" i="1874" s="1"/>
  <c r="C44" i="1875"/>
  <c r="K44" i="1875" s="1"/>
  <c r="F10" i="1875"/>
  <c r="C30" i="1875"/>
  <c r="C37" i="1875" l="1"/>
  <c r="G30" i="1875"/>
  <c r="E37" i="1875" s="1"/>
  <c r="G37" i="1875" s="1"/>
  <c r="N44" i="1875" s="1"/>
  <c r="G10" i="1874" s="1"/>
  <c r="M44" i="1875"/>
  <c r="E10" i="1874"/>
  <c r="F9" i="1874"/>
  <c r="C43" i="1874"/>
  <c r="K43" i="1874" s="1"/>
  <c r="C29" i="1874"/>
  <c r="C36" i="1874" l="1"/>
  <c r="G29" i="1874"/>
  <c r="E36" i="1874" s="1"/>
  <c r="G36" i="1874" s="1"/>
  <c r="N43" i="1874" s="1"/>
  <c r="G9" i="1876" s="1"/>
  <c r="E29" i="1876" s="1"/>
  <c r="M43" i="1874"/>
  <c r="E9" i="1876"/>
  <c r="C44" i="1874"/>
  <c r="K44" i="1874" s="1"/>
  <c r="F10" i="1874"/>
  <c r="C30" i="1874"/>
  <c r="E30" i="1874"/>
  <c r="N16" i="1874"/>
  <c r="O16" i="1874" s="1"/>
  <c r="P16" i="1874" s="1"/>
  <c r="P23" i="1874" s="1"/>
  <c r="C37" i="1874" l="1"/>
  <c r="G30" i="1874"/>
  <c r="E37" i="1874" s="1"/>
  <c r="G37" i="1874" s="1"/>
  <c r="N44" i="1874" s="1"/>
  <c r="G10" i="1876" s="1"/>
  <c r="M44" i="1874"/>
  <c r="E10" i="1876"/>
  <c r="C43" i="1876"/>
  <c r="K43" i="1876" s="1"/>
  <c r="F9" i="1876"/>
  <c r="C29" i="1876"/>
  <c r="M43" i="1876" l="1"/>
  <c r="E9" i="1877"/>
  <c r="C36" i="1876"/>
  <c r="G29" i="1876"/>
  <c r="E36" i="1876" s="1"/>
  <c r="G36" i="1876" s="1"/>
  <c r="N43" i="1876" s="1"/>
  <c r="G9" i="1877" s="1"/>
  <c r="E29" i="1877" s="1"/>
  <c r="C44" i="1876"/>
  <c r="K44" i="1876" s="1"/>
  <c r="F10" i="1876"/>
  <c r="C30" i="1876"/>
  <c r="N20" i="1876"/>
  <c r="O20" i="1876" s="1"/>
  <c r="P20" i="1876" s="1"/>
  <c r="N19" i="1876"/>
  <c r="O19" i="1876" s="1"/>
  <c r="P19" i="1876" s="1"/>
  <c r="N18" i="1876"/>
  <c r="O18" i="1876" s="1"/>
  <c r="P18" i="1876" s="1"/>
  <c r="N17" i="1876"/>
  <c r="O17" i="1876" s="1"/>
  <c r="P17" i="1876" s="1"/>
  <c r="E30" i="1876"/>
  <c r="N16" i="1876"/>
  <c r="O16" i="1876" s="1"/>
  <c r="P16" i="1876" s="1"/>
  <c r="P23" i="1876" s="1"/>
  <c r="M44" i="1876" l="1"/>
  <c r="E10" i="1877"/>
  <c r="C43" i="1877"/>
  <c r="K43" i="1877" s="1"/>
  <c r="C29" i="1877"/>
  <c r="F9" i="1877"/>
  <c r="C37" i="1876"/>
  <c r="G30" i="1876"/>
  <c r="E37" i="1876" s="1"/>
  <c r="G37" i="1876" s="1"/>
  <c r="N44" i="1876" s="1"/>
  <c r="G10" i="1877" s="1"/>
  <c r="E30" i="1877" l="1"/>
  <c r="N16" i="1877"/>
  <c r="O16" i="1877" s="1"/>
  <c r="P16" i="1877" s="1"/>
  <c r="P23" i="1877" s="1"/>
  <c r="C36" i="1877"/>
  <c r="G29" i="1877"/>
  <c r="E36" i="1877" s="1"/>
  <c r="G36" i="1877" s="1"/>
  <c r="N43" i="1877" s="1"/>
  <c r="G9" i="1878" s="1"/>
  <c r="M43" i="1877"/>
  <c r="E9" i="1878"/>
  <c r="C44" i="1877"/>
  <c r="K44" i="1877" s="1"/>
  <c r="C30" i="1877"/>
  <c r="F10" i="1877"/>
  <c r="C37" i="1877" l="1"/>
  <c r="G30" i="1877"/>
  <c r="E37" i="1877" s="1"/>
  <c r="G37" i="1877" s="1"/>
  <c r="N44" i="1877" s="1"/>
  <c r="G10" i="1878" s="1"/>
  <c r="M44" i="1877"/>
  <c r="E10" i="1878"/>
  <c r="C43" i="1878"/>
  <c r="K43" i="1878" s="1"/>
  <c r="C29" i="1878"/>
  <c r="F9" i="1878"/>
  <c r="F16" i="1878"/>
  <c r="G16" i="1878" s="1"/>
  <c r="H16" i="1878" s="1"/>
  <c r="H23" i="1878" s="1"/>
  <c r="E29" i="1878"/>
  <c r="C36" i="1878" l="1"/>
  <c r="G29" i="1878"/>
  <c r="E36" i="1878" s="1"/>
  <c r="G36" i="1878" s="1"/>
  <c r="N43" i="1878" s="1"/>
  <c r="G9" i="1879" s="1"/>
  <c r="E29" i="1879" s="1"/>
  <c r="M43" i="1878"/>
  <c r="E9" i="1879"/>
  <c r="C44" i="1878"/>
  <c r="K44" i="1878" s="1"/>
  <c r="C30" i="1878"/>
  <c r="F10" i="1878"/>
  <c r="N20" i="1878"/>
  <c r="O20" i="1878" s="1"/>
  <c r="P20" i="1878" s="1"/>
  <c r="N19" i="1878"/>
  <c r="O19" i="1878" s="1"/>
  <c r="P19" i="1878" s="1"/>
  <c r="N18" i="1878"/>
  <c r="O18" i="1878" s="1"/>
  <c r="P18" i="1878" s="1"/>
  <c r="N17" i="1878"/>
  <c r="O17" i="1878" s="1"/>
  <c r="P17" i="1878" s="1"/>
  <c r="E30" i="1878"/>
  <c r="N16" i="1878"/>
  <c r="O16" i="1878" s="1"/>
  <c r="P16" i="1878" s="1"/>
  <c r="P23" i="1878" s="1"/>
  <c r="C37" i="1878" l="1"/>
  <c r="G30" i="1878"/>
  <c r="E37" i="1878" s="1"/>
  <c r="G37" i="1878" s="1"/>
  <c r="N44" i="1878" s="1"/>
  <c r="G10" i="1879" s="1"/>
  <c r="M44" i="1878"/>
  <c r="E10" i="1879"/>
  <c r="C43" i="1879"/>
  <c r="K43" i="1879" s="1"/>
  <c r="C29" i="1879"/>
  <c r="F9" i="1879"/>
  <c r="C36" i="1879" l="1"/>
  <c r="G29" i="1879"/>
  <c r="E36" i="1879" s="1"/>
  <c r="G36" i="1879" s="1"/>
  <c r="N43" i="1879" s="1"/>
  <c r="G9" i="1880" s="1"/>
  <c r="E29" i="1880" s="1"/>
  <c r="M43" i="1879"/>
  <c r="E9" i="1880"/>
  <c r="C44" i="1879"/>
  <c r="K44" i="1879" s="1"/>
  <c r="C30" i="1879"/>
  <c r="F10" i="1879"/>
  <c r="E30" i="1879"/>
  <c r="N16" i="1879"/>
  <c r="O16" i="1879" s="1"/>
  <c r="P16" i="1879" s="1"/>
  <c r="P23" i="1879" s="1"/>
  <c r="C37" i="1879" l="1"/>
  <c r="G30" i="1879"/>
  <c r="E37" i="1879" s="1"/>
  <c r="G37" i="1879" s="1"/>
  <c r="N44" i="1879" s="1"/>
  <c r="G10" i="1880" s="1"/>
  <c r="E30" i="1880" s="1"/>
  <c r="M44" i="1879"/>
  <c r="E10" i="1880"/>
  <c r="C43" i="1880"/>
  <c r="K43" i="1880" s="1"/>
  <c r="C29" i="1880"/>
  <c r="F9" i="1880"/>
  <c r="C36" i="1880" l="1"/>
  <c r="G29" i="1880"/>
  <c r="E36" i="1880" s="1"/>
  <c r="G36" i="1880" s="1"/>
  <c r="N43" i="1880" s="1"/>
  <c r="G9" i="1881" s="1"/>
  <c r="E29" i="1881" s="1"/>
  <c r="M43" i="1880"/>
  <c r="E9" i="1881"/>
  <c r="C44" i="1880"/>
  <c r="K44" i="1880" s="1"/>
  <c r="C30" i="1880"/>
  <c r="F10" i="1880"/>
  <c r="C37" i="1880" l="1"/>
  <c r="G30" i="1880"/>
  <c r="E37" i="1880" s="1"/>
  <c r="G37" i="1880" s="1"/>
  <c r="N44" i="1880" s="1"/>
  <c r="G10" i="1881" s="1"/>
  <c r="M44" i="1880"/>
  <c r="E10" i="1881"/>
  <c r="C43" i="1881"/>
  <c r="K43" i="1881" s="1"/>
  <c r="C29" i="1881"/>
  <c r="F9" i="1881"/>
  <c r="C36" i="1881" l="1"/>
  <c r="G29" i="1881"/>
  <c r="E36" i="1881" s="1"/>
  <c r="G36" i="1881" s="1"/>
  <c r="N43" i="1881" s="1"/>
  <c r="G9" i="1882" s="1"/>
  <c r="E29" i="1882" s="1"/>
  <c r="M43" i="1881"/>
  <c r="E9" i="1882"/>
  <c r="C44" i="1881"/>
  <c r="K44" i="1881" s="1"/>
  <c r="C30" i="1881"/>
  <c r="C37" i="1881" s="1"/>
  <c r="F10" i="1881"/>
  <c r="N17" i="1881"/>
  <c r="O17" i="1881" s="1"/>
  <c r="P17" i="1881" s="1"/>
  <c r="N16" i="1881"/>
  <c r="O16" i="1881" s="1"/>
  <c r="P16" i="1881" s="1"/>
  <c r="P23" i="1881" s="1"/>
  <c r="E30" i="1881"/>
  <c r="G30" i="1881" s="1"/>
  <c r="E37" i="1881" s="1"/>
  <c r="G37" i="1881" s="1"/>
  <c r="N44" i="1881" s="1"/>
  <c r="G10" i="1882" s="1"/>
  <c r="E30" i="1882" s="1"/>
  <c r="M44" i="1881" l="1"/>
  <c r="E10" i="1882"/>
  <c r="C43" i="1882"/>
  <c r="K43" i="1882" s="1"/>
  <c r="C29" i="1882"/>
  <c r="F9" i="1882"/>
  <c r="C36" i="1882" l="1"/>
  <c r="G29" i="1882"/>
  <c r="E36" i="1882" s="1"/>
  <c r="G36" i="1882" s="1"/>
  <c r="N43" i="1882" s="1"/>
  <c r="G9" i="1883" s="1"/>
  <c r="E29" i="1883" s="1"/>
  <c r="M43" i="1882"/>
  <c r="E9" i="1883"/>
  <c r="C44" i="1882"/>
  <c r="K44" i="1882" s="1"/>
  <c r="C30" i="1882"/>
  <c r="F10" i="1882"/>
  <c r="C37" i="1882" l="1"/>
  <c r="G30" i="1882"/>
  <c r="E37" i="1882" s="1"/>
  <c r="G37" i="1882" s="1"/>
  <c r="N44" i="1882" s="1"/>
  <c r="G10" i="1883" s="1"/>
  <c r="M44" i="1882"/>
  <c r="E10" i="1883"/>
  <c r="C43" i="1883"/>
  <c r="K43" i="1883" s="1"/>
  <c r="C29" i="1883"/>
  <c r="F9" i="1883"/>
  <c r="C36" i="1883" l="1"/>
  <c r="G29" i="1883"/>
  <c r="E36" i="1883" s="1"/>
  <c r="G36" i="1883" s="1"/>
  <c r="N43" i="1883" s="1"/>
  <c r="G9" i="1884" s="1"/>
  <c r="E29" i="1884" s="1"/>
  <c r="M43" i="1883"/>
  <c r="E9" i="1884"/>
  <c r="C44" i="1883"/>
  <c r="K44" i="1883" s="1"/>
  <c r="C30" i="1883"/>
  <c r="C37" i="1883" s="1"/>
  <c r="F10" i="1883"/>
  <c r="N16" i="1883"/>
  <c r="O16" i="1883" s="1"/>
  <c r="P16" i="1883" s="1"/>
  <c r="P23" i="1883" s="1"/>
  <c r="E30" i="1883"/>
  <c r="G30" i="1883" s="1"/>
  <c r="E37" i="1883" s="1"/>
  <c r="G37" i="1883" s="1"/>
  <c r="N44" i="1883" s="1"/>
  <c r="G10" i="1884" s="1"/>
  <c r="N16" i="1884" l="1"/>
  <c r="O16" i="1884" s="1"/>
  <c r="P16" i="1884" s="1"/>
  <c r="P23" i="1884" s="1"/>
  <c r="E30" i="1884"/>
  <c r="M44" i="1883"/>
  <c r="E10" i="1884"/>
  <c r="C43" i="1884"/>
  <c r="K43" i="1884" s="1"/>
  <c r="C29" i="1884"/>
  <c r="F9" i="1884"/>
  <c r="C36" i="1884" l="1"/>
  <c r="G29" i="1884"/>
  <c r="E36" i="1884" s="1"/>
  <c r="G36" i="1884" s="1"/>
  <c r="N43" i="1884" s="1"/>
  <c r="G9" i="1885" s="1"/>
  <c r="E29" i="1885" s="1"/>
  <c r="M43" i="1884"/>
  <c r="E9" i="1885"/>
  <c r="C44" i="1884"/>
  <c r="K44" i="1884" s="1"/>
  <c r="C30" i="1884"/>
  <c r="C37" i="1884" s="1"/>
  <c r="F10" i="1884"/>
  <c r="G30" i="1884"/>
  <c r="E37" i="1884" s="1"/>
  <c r="G37" i="1884" s="1"/>
  <c r="N44" i="1884" s="1"/>
  <c r="G10" i="1885" s="1"/>
  <c r="N16" i="1885" l="1"/>
  <c r="O16" i="1885" s="1"/>
  <c r="P16" i="1885" s="1"/>
  <c r="P23" i="1885" s="1"/>
  <c r="E30" i="1885"/>
  <c r="M44" i="1884"/>
  <c r="E10" i="1885"/>
  <c r="C43" i="1885"/>
  <c r="K43" i="1885" s="1"/>
  <c r="C29" i="1885"/>
  <c r="F9" i="1885"/>
  <c r="C36" i="1885" l="1"/>
  <c r="G29" i="1885"/>
  <c r="E36" i="1885" s="1"/>
  <c r="G36" i="1885" s="1"/>
  <c r="N43" i="1885" s="1"/>
  <c r="G9" i="1886" s="1"/>
  <c r="E29" i="1886" s="1"/>
  <c r="M43" i="1885"/>
  <c r="E9" i="1886"/>
  <c r="C44" i="1885"/>
  <c r="K44" i="1885" s="1"/>
  <c r="C30" i="1885"/>
  <c r="C37" i="1885" s="1"/>
  <c r="F10" i="1885"/>
  <c r="G30" i="1885"/>
  <c r="E37" i="1885" s="1"/>
  <c r="G37" i="1885" s="1"/>
  <c r="N44" i="1885" s="1"/>
  <c r="G10" i="1886" s="1"/>
  <c r="E30" i="1886" s="1"/>
  <c r="M44" i="1885" l="1"/>
  <c r="E10" i="1886"/>
  <c r="C43" i="1886"/>
  <c r="K43" i="1886" s="1"/>
  <c r="C29" i="1886"/>
  <c r="F9" i="1886"/>
  <c r="C36" i="1886" l="1"/>
  <c r="G29" i="1886"/>
  <c r="E36" i="1886" s="1"/>
  <c r="G36" i="1886" s="1"/>
  <c r="N43" i="1886" s="1"/>
  <c r="G9" i="1887" s="1"/>
  <c r="M43" i="1886"/>
  <c r="E9" i="1887"/>
  <c r="C44" i="1886"/>
  <c r="K44" i="1886" s="1"/>
  <c r="C30" i="1886"/>
  <c r="F10" i="1886"/>
  <c r="C37" i="1886" l="1"/>
  <c r="G30" i="1886"/>
  <c r="E37" i="1886" s="1"/>
  <c r="G37" i="1886" s="1"/>
  <c r="N44" i="1886" s="1"/>
  <c r="G10" i="1887" s="1"/>
  <c r="M44" i="1886"/>
  <c r="E10" i="1887"/>
  <c r="C43" i="1887"/>
  <c r="K43" i="1887" s="1"/>
  <c r="C29" i="1887"/>
  <c r="C36" i="1887" s="1"/>
  <c r="F9" i="1887"/>
  <c r="F16" i="1887"/>
  <c r="G16" i="1887" s="1"/>
  <c r="H16" i="1887" s="1"/>
  <c r="H23" i="1887" s="1"/>
  <c r="E29" i="1887"/>
  <c r="G29" i="1887" s="1"/>
  <c r="E36" i="1887" s="1"/>
  <c r="G36" i="1887" s="1"/>
  <c r="N43" i="1887" s="1"/>
  <c r="G9" i="1888" s="1"/>
  <c r="E29" i="1888" s="1"/>
  <c r="M43" i="1887" l="1"/>
  <c r="E9" i="1888"/>
  <c r="C44" i="1887"/>
  <c r="K44" i="1887" s="1"/>
  <c r="C30" i="1887"/>
  <c r="C37" i="1887" s="1"/>
  <c r="F10" i="1887"/>
  <c r="N17" i="1887"/>
  <c r="O17" i="1887" s="1"/>
  <c r="P17" i="1887" s="1"/>
  <c r="N18" i="1887"/>
  <c r="O18" i="1887" s="1"/>
  <c r="P18" i="1887" s="1"/>
  <c r="N16" i="1887"/>
  <c r="O16" i="1887" s="1"/>
  <c r="P16" i="1887" s="1"/>
  <c r="P23" i="1887" s="1"/>
  <c r="E30" i="1887"/>
  <c r="G30" i="1887" s="1"/>
  <c r="E37" i="1887" s="1"/>
  <c r="G37" i="1887" s="1"/>
  <c r="N44" i="1887" s="1"/>
  <c r="G10" i="1888" s="1"/>
  <c r="E30" i="1888" s="1"/>
  <c r="M44" i="1887" l="1"/>
  <c r="E10" i="1888"/>
  <c r="C43" i="1888"/>
  <c r="K43" i="1888" s="1"/>
  <c r="C29" i="1888"/>
  <c r="F9" i="1888"/>
  <c r="C36" i="1888" l="1"/>
  <c r="G29" i="1888"/>
  <c r="E36" i="1888" s="1"/>
  <c r="G36" i="1888" s="1"/>
  <c r="N43" i="1888" s="1"/>
  <c r="G9" i="1889" s="1"/>
  <c r="E29" i="1889" s="1"/>
  <c r="M43" i="1888"/>
  <c r="E9" i="1889"/>
  <c r="C44" i="1888"/>
  <c r="K44" i="1888" s="1"/>
  <c r="C30" i="1888"/>
  <c r="F10" i="1888"/>
  <c r="C37" i="1888" l="1"/>
  <c r="G30" i="1888"/>
  <c r="E37" i="1888" s="1"/>
  <c r="G37" i="1888" s="1"/>
  <c r="N44" i="1888" s="1"/>
  <c r="G10" i="1889" s="1"/>
  <c r="M44" i="1888"/>
  <c r="E10" i="1889"/>
  <c r="C43" i="1889"/>
  <c r="K43" i="1889" s="1"/>
  <c r="C29" i="1889"/>
  <c r="C36" i="1889" s="1"/>
  <c r="F9" i="1889"/>
  <c r="G29" i="1889"/>
  <c r="E36" i="1889" s="1"/>
  <c r="G36" i="1889" s="1"/>
  <c r="N43" i="1889" s="1"/>
  <c r="G9" i="1890" s="1"/>
  <c r="E29" i="1890" s="1"/>
  <c r="M43" i="1889" l="1"/>
  <c r="E9" i="1890"/>
  <c r="C44" i="1889"/>
  <c r="K44" i="1889" s="1"/>
  <c r="C30" i="1889"/>
  <c r="C37" i="1889" s="1"/>
  <c r="F10" i="1889"/>
  <c r="E30" i="1889"/>
  <c r="G30" i="1889" s="1"/>
  <c r="E37" i="1889" s="1"/>
  <c r="G37" i="1889" s="1"/>
  <c r="N44" i="1889" s="1"/>
  <c r="G10" i="1890" s="1"/>
  <c r="E30" i="1890" s="1"/>
  <c r="N16" i="1889"/>
  <c r="O16" i="1889" s="1"/>
  <c r="P16" i="1889" s="1"/>
  <c r="P23" i="1889" s="1"/>
  <c r="M44" i="1889" l="1"/>
  <c r="E10" i="1890"/>
  <c r="C43" i="1890"/>
  <c r="K43" i="1890" s="1"/>
  <c r="C29" i="1890"/>
  <c r="F9" i="1890"/>
  <c r="C36" i="1890" l="1"/>
  <c r="G29" i="1890"/>
  <c r="E36" i="1890" s="1"/>
  <c r="G36" i="1890" s="1"/>
  <c r="N43" i="1890" s="1"/>
  <c r="G9" i="1891" s="1"/>
  <c r="E29" i="1891" s="1"/>
  <c r="M43" i="1890"/>
  <c r="E9" i="1891"/>
  <c r="C44" i="1890"/>
  <c r="K44" i="1890" s="1"/>
  <c r="C30" i="1890"/>
  <c r="F10" i="1890"/>
  <c r="C37" i="1890" l="1"/>
  <c r="G30" i="1890"/>
  <c r="E37" i="1890" s="1"/>
  <c r="G37" i="1890" s="1"/>
  <c r="N44" i="1890" s="1"/>
  <c r="G10" i="1891" s="1"/>
  <c r="M44" i="1890"/>
  <c r="E10" i="1891"/>
  <c r="C43" i="1891"/>
  <c r="K43" i="1891" s="1"/>
  <c r="C29" i="1891"/>
  <c r="C36" i="1891" s="1"/>
  <c r="F9" i="1891"/>
  <c r="G29" i="1891"/>
  <c r="E36" i="1891" s="1"/>
  <c r="G36" i="1891" s="1"/>
  <c r="N43" i="1891" s="1"/>
  <c r="G9" i="1892" s="1"/>
  <c r="E29" i="1892" s="1"/>
  <c r="M43" i="1891" l="1"/>
  <c r="E9" i="1892"/>
  <c r="C44" i="1891"/>
  <c r="K44" i="1891" s="1"/>
  <c r="C30" i="1891"/>
  <c r="C37" i="1891" s="1"/>
  <c r="F10" i="1891"/>
  <c r="N17" i="1891"/>
  <c r="O17" i="1891" s="1"/>
  <c r="P17" i="1891" s="1"/>
  <c r="E30" i="1891"/>
  <c r="G30" i="1891" s="1"/>
  <c r="E37" i="1891" s="1"/>
  <c r="G37" i="1891" s="1"/>
  <c r="N44" i="1891" s="1"/>
  <c r="G10" i="1892" s="1"/>
  <c r="E30" i="1892" s="1"/>
  <c r="N16" i="1891"/>
  <c r="O16" i="1891" s="1"/>
  <c r="P16" i="1891" s="1"/>
  <c r="P23" i="1891" s="1"/>
  <c r="M44" i="1891" l="1"/>
  <c r="E10" i="1892"/>
  <c r="C43" i="1892"/>
  <c r="K43" i="1892" s="1"/>
  <c r="C29" i="1892"/>
  <c r="F9" i="1892"/>
  <c r="C36" i="1892" l="1"/>
  <c r="G29" i="1892"/>
  <c r="E36" i="1892" s="1"/>
  <c r="G36" i="1892" s="1"/>
  <c r="N43" i="1892" s="1"/>
  <c r="G9" i="1893" s="1"/>
  <c r="E29" i="1893" s="1"/>
  <c r="M43" i="1892"/>
  <c r="E9" i="1893"/>
  <c r="C44" i="1892"/>
  <c r="K44" i="1892" s="1"/>
  <c r="C30" i="1892"/>
  <c r="F10" i="1892"/>
  <c r="C37" i="1892" l="1"/>
  <c r="G30" i="1892"/>
  <c r="E37" i="1892" s="1"/>
  <c r="G37" i="1892" s="1"/>
  <c r="N44" i="1892" s="1"/>
  <c r="G10" i="1893" s="1"/>
  <c r="M44" i="1892"/>
  <c r="E10" i="1893"/>
  <c r="C43" i="1893"/>
  <c r="K43" i="1893" s="1"/>
  <c r="C29" i="1893"/>
  <c r="C36" i="1893" s="1"/>
  <c r="F9" i="1893"/>
  <c r="G29" i="1893"/>
  <c r="E36" i="1893" s="1"/>
  <c r="G36" i="1893" s="1"/>
  <c r="N43" i="1893" s="1"/>
  <c r="G9" i="1894" s="1"/>
  <c r="E29" i="1894" s="1"/>
  <c r="M43" i="1893" l="1"/>
  <c r="E9" i="1894"/>
  <c r="C44" i="1893"/>
  <c r="K44" i="1893" s="1"/>
  <c r="C30" i="1893"/>
  <c r="C37" i="1893" s="1"/>
  <c r="F10" i="1893"/>
  <c r="E30" i="1893"/>
  <c r="G30" i="1893" s="1"/>
  <c r="E37" i="1893" s="1"/>
  <c r="G37" i="1893" s="1"/>
  <c r="N44" i="1893" s="1"/>
  <c r="G10" i="1894" s="1"/>
  <c r="E30" i="1894" s="1"/>
  <c r="N16" i="1893"/>
  <c r="O16" i="1893" s="1"/>
  <c r="P16" i="1893" s="1"/>
  <c r="P23" i="1893" s="1"/>
  <c r="M44" i="1893" l="1"/>
  <c r="E10" i="1894"/>
  <c r="C29" i="1894"/>
  <c r="C43" i="1894"/>
  <c r="K43" i="1894" s="1"/>
  <c r="M43" i="1894" s="1"/>
  <c r="F9" i="1894"/>
  <c r="C36" i="1894" l="1"/>
  <c r="G29" i="1894"/>
  <c r="E36" i="1894" s="1"/>
  <c r="G36" i="1894" s="1"/>
  <c r="N43" i="1894" s="1"/>
  <c r="C44" i="1894"/>
  <c r="K44" i="1894" s="1"/>
  <c r="M44" i="1894" s="1"/>
  <c r="C30" i="1894"/>
  <c r="F10" i="1894"/>
  <c r="G30" i="1894" l="1"/>
  <c r="E37" i="1894" s="1"/>
  <c r="C37" i="1894"/>
  <c r="G37" i="1894" s="1"/>
  <c r="N44" i="1894" s="1"/>
</calcChain>
</file>

<file path=xl/sharedStrings.xml><?xml version="1.0" encoding="utf-8"?>
<sst xmlns="http://schemas.openxmlformats.org/spreadsheetml/2006/main" count="11682" uniqueCount="116">
  <si>
    <t>◈ KK저장소 복합단가 운영표 - 신도시저장소</t>
    <phoneticPr fontId="2" type="noConversion"/>
  </si>
  <si>
    <t xml:space="preserve">이 월 재 고 </t>
    <phoneticPr fontId="2" type="noConversion"/>
  </si>
  <si>
    <t>[단위:리터/원]</t>
    <phoneticPr fontId="2" type="noConversion"/>
  </si>
  <si>
    <t>유종</t>
    <phoneticPr fontId="2" type="noConversion"/>
  </si>
  <si>
    <t>탱크용량</t>
    <phoneticPr fontId="2" type="noConversion"/>
  </si>
  <si>
    <t>재고수량</t>
    <phoneticPr fontId="2" type="noConversion"/>
  </si>
  <si>
    <t>재고율</t>
    <phoneticPr fontId="2" type="noConversion"/>
  </si>
  <si>
    <t>단가</t>
    <phoneticPr fontId="2" type="noConversion"/>
  </si>
  <si>
    <t>G</t>
    <phoneticPr fontId="2" type="noConversion"/>
  </si>
  <si>
    <t>K</t>
    <phoneticPr fontId="2" type="noConversion"/>
  </si>
  <si>
    <t xml:space="preserve"> </t>
    <phoneticPr fontId="2" type="noConversion"/>
  </si>
  <si>
    <t>D</t>
    <phoneticPr fontId="2" type="noConversion"/>
  </si>
  <si>
    <t>출고내역(K)</t>
    <phoneticPr fontId="2" type="noConversion"/>
  </si>
  <si>
    <t>출고내역(LD)</t>
    <phoneticPr fontId="2" type="noConversion"/>
  </si>
  <si>
    <t>일반매출(사내이관 포함)</t>
    <phoneticPr fontId="2" type="noConversion"/>
  </si>
  <si>
    <t>거래처명</t>
    <phoneticPr fontId="2" type="noConversion"/>
  </si>
  <si>
    <t>수량</t>
    <phoneticPr fontId="2" type="noConversion"/>
  </si>
  <si>
    <t>출고단가</t>
    <phoneticPr fontId="2" type="noConversion"/>
  </si>
  <si>
    <t>재고단가</t>
    <phoneticPr fontId="2" type="noConversion"/>
  </si>
  <si>
    <t>단가차액</t>
    <phoneticPr fontId="2" type="noConversion"/>
  </si>
  <si>
    <t>이익</t>
    <phoneticPr fontId="2" type="noConversion"/>
  </si>
  <si>
    <t>실내
등유</t>
    <phoneticPr fontId="2" type="noConversion"/>
  </si>
  <si>
    <t>경유</t>
    <phoneticPr fontId="2" type="noConversion"/>
  </si>
  <si>
    <t/>
  </si>
  <si>
    <t>소 계</t>
    <phoneticPr fontId="2" type="noConversion"/>
  </si>
  <si>
    <t>마 감 재 고</t>
    <phoneticPr fontId="2" type="noConversion"/>
  </si>
  <si>
    <t xml:space="preserve">입 고 내 역 </t>
    <phoneticPr fontId="2" type="noConversion"/>
  </si>
  <si>
    <t>환산금액</t>
    <phoneticPr fontId="2" type="noConversion"/>
  </si>
  <si>
    <t>사입단가</t>
    <phoneticPr fontId="2" type="noConversion"/>
  </si>
  <si>
    <t>복 합 단 가</t>
    <phoneticPr fontId="2" type="noConversion"/>
  </si>
  <si>
    <t>금액</t>
    <phoneticPr fontId="2" type="noConversion"/>
  </si>
  <si>
    <t>재 고 현 황</t>
    <phoneticPr fontId="2" type="noConversion"/>
  </si>
  <si>
    <t>전일</t>
    <phoneticPr fontId="2" type="noConversion"/>
  </si>
  <si>
    <t>금일</t>
    <phoneticPr fontId="2" type="noConversion"/>
  </si>
  <si>
    <t>복합단가</t>
    <phoneticPr fontId="2" type="noConversion"/>
  </si>
  <si>
    <t>증감</t>
    <phoneticPr fontId="2" type="noConversion"/>
  </si>
  <si>
    <t>재고</t>
    <phoneticPr fontId="2" type="noConversion"/>
  </si>
  <si>
    <t>입고</t>
  </si>
  <si>
    <t>출고</t>
    <phoneticPr fontId="2" type="noConversion"/>
  </si>
  <si>
    <t>휘발유</t>
    <phoneticPr fontId="2" type="noConversion"/>
  </si>
  <si>
    <t>등  유</t>
    <phoneticPr fontId="2" type="noConversion"/>
  </si>
  <si>
    <t>경  유</t>
    <phoneticPr fontId="2" type="noConversion"/>
  </si>
  <si>
    <t>복합단가의 재고수량과 단가는 보관물량 제외니 참고해주세요!</t>
  </si>
  <si>
    <t>고아농협</t>
  </si>
  <si>
    <t>경천</t>
  </si>
  <si>
    <t>일호셀프</t>
    <phoneticPr fontId="2" type="noConversion"/>
  </si>
  <si>
    <t>성서고속</t>
    <phoneticPr fontId="2" type="noConversion"/>
  </si>
  <si>
    <t>&lt;&lt;11월, 12월 경질유 인센</t>
    <phoneticPr fontId="2" type="noConversion"/>
  </si>
  <si>
    <t>세양개발</t>
  </si>
  <si>
    <t>신라</t>
  </si>
  <si>
    <t>공단석유</t>
  </si>
  <si>
    <t>중앙2</t>
  </si>
  <si>
    <t>안동중앙</t>
  </si>
  <si>
    <t>매곡</t>
  </si>
  <si>
    <t>성서고속</t>
  </si>
  <si>
    <t>코리아</t>
  </si>
  <si>
    <t>가산</t>
  </si>
  <si>
    <t xml:space="preserve"> &lt;&lt;26년 1분기 IB </t>
  </si>
  <si>
    <t>안동중앙</t>
    <phoneticPr fontId="2" type="noConversion"/>
  </si>
  <si>
    <t>매곡</t>
    <phoneticPr fontId="2" type="noConversion"/>
  </si>
  <si>
    <t>성진</t>
  </si>
  <si>
    <t>감로화</t>
  </si>
  <si>
    <t>1대</t>
  </si>
  <si>
    <t>씨에스</t>
  </si>
  <si>
    <t>매일동광석유</t>
  </si>
  <si>
    <t>씨에스E</t>
  </si>
  <si>
    <t>세아아스콘</t>
  </si>
  <si>
    <t>푸른</t>
  </si>
  <si>
    <t>반가운</t>
  </si>
  <si>
    <t>강나루</t>
  </si>
  <si>
    <t>미소가득</t>
  </si>
  <si>
    <t>농민</t>
  </si>
  <si>
    <t>독도사랑31</t>
  </si>
  <si>
    <t>유성</t>
  </si>
  <si>
    <t>독도사랑2</t>
  </si>
  <si>
    <t>금호</t>
  </si>
  <si>
    <t>1대출고</t>
  </si>
  <si>
    <t>가산고속</t>
  </si>
  <si>
    <t>녹색</t>
  </si>
  <si>
    <t>중앙</t>
  </si>
  <si>
    <t>이비티에스7</t>
  </si>
  <si>
    <t>경원</t>
  </si>
  <si>
    <t>동양이룸</t>
  </si>
  <si>
    <t>고유가 +30원 Inc.</t>
    <phoneticPr fontId="2" type="noConversion"/>
  </si>
  <si>
    <t>26.03~04 경질유Inc.</t>
    <phoneticPr fontId="2" type="noConversion"/>
  </si>
  <si>
    <t>26년 PI</t>
    <phoneticPr fontId="2" type="noConversion"/>
  </si>
  <si>
    <t>한양</t>
  </si>
  <si>
    <t>참별</t>
  </si>
  <si>
    <t>상주이룸</t>
  </si>
  <si>
    <t>별빛</t>
  </si>
  <si>
    <t>금강석유</t>
  </si>
  <si>
    <t>5월 고유가 +\30</t>
    <phoneticPr fontId="2" type="noConversion"/>
  </si>
  <si>
    <t>26년 2Q PI</t>
    <phoneticPr fontId="2" type="noConversion"/>
  </si>
  <si>
    <t>독도사랑13</t>
  </si>
  <si>
    <t>침산</t>
  </si>
  <si>
    <t>침산2</t>
  </si>
  <si>
    <t>6월 고유가inc</t>
    <phoneticPr fontId="2" type="noConversion"/>
  </si>
  <si>
    <t>경질유inc</t>
    <phoneticPr fontId="2" type="noConversion"/>
  </si>
  <si>
    <t>추가보전</t>
    <phoneticPr fontId="2" type="noConversion"/>
  </si>
  <si>
    <t>증감</t>
  </si>
  <si>
    <t>㈜미니에너지
직영 (310/5340)</t>
  </si>
  <si>
    <t xml:space="preserve"> &lt;&lt; ㈜미니에너지 직영 (310/5340)</t>
  </si>
  <si>
    <t>미니주유소
(310/5341)</t>
  </si>
  <si>
    <t xml:space="preserve"> &lt;&lt; 미니주유소 (310/5341)</t>
  </si>
  <si>
    <t>주식회사
미니이 (310/5343)</t>
  </si>
  <si>
    <t xml:space="preserve"> &lt;&lt; 주식회사 미니이 (310/5343)</t>
  </si>
  <si>
    <t>㈜미니에너지 직영
(310/5340)</t>
  </si>
  <si>
    <t>주식회사 미니이
(310/5343)</t>
  </si>
  <si>
    <t>㈜미니에너지 직영 (310/5340)</t>
  </si>
  <si>
    <t>강나루
(310/1638)</t>
  </si>
  <si>
    <t>고아농협</t>
    <phoneticPr fontId="2" type="noConversion"/>
  </si>
  <si>
    <t>감로화</t>
    <phoneticPr fontId="2" type="noConversion"/>
  </si>
  <si>
    <t>강나루</t>
    <phoneticPr fontId="2" type="noConversion"/>
  </si>
  <si>
    <t>중앙</t>
    <phoneticPr fontId="2" type="noConversion"/>
  </si>
  <si>
    <t>유성</t>
    <phoneticPr fontId="2" type="noConversion"/>
  </si>
  <si>
    <t>침산2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</si>
</sst>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76" formatCode="#,##0_ ;[Red]\-#,##0\ "/>
    <numFmt numFmtId="177" formatCode="_-* #,##0.00_-;\-* #,##0.00_-;_-* &quot;-&quot;_-;_-@_-"/>
    <numFmt numFmtId="178" formatCode="mm&quot;월&quot;\ dd&quot;일&quot;"/>
  </numFmts>
  <fonts count="2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i/>
      <sz val="11"/>
      <name val="맑은 고딕"/>
      <family val="3"/>
      <charset val="129"/>
      <scheme val="major"/>
    </font>
    <font>
      <i/>
      <sz val="10"/>
      <name val="맑은 고딕"/>
      <family val="3"/>
      <charset val="129"/>
      <scheme val="major"/>
    </font>
    <font>
      <b/>
      <i/>
      <sz val="22"/>
      <name val="맑은 고딕"/>
      <family val="3"/>
      <charset val="129"/>
      <scheme val="major"/>
    </font>
    <font>
      <i/>
      <sz val="11"/>
      <name val="맑은 고딕"/>
      <family val="3"/>
      <charset val="129"/>
      <scheme val="major"/>
    </font>
    <font>
      <b/>
      <i/>
      <sz val="8"/>
      <name val="맑은 고딕"/>
      <family val="3"/>
      <charset val="129"/>
      <scheme val="major"/>
    </font>
    <font>
      <b/>
      <i/>
      <sz val="14"/>
      <name val="맑은 고딕"/>
      <family val="3"/>
      <charset val="129"/>
      <scheme val="major"/>
    </font>
    <font>
      <b/>
      <i/>
      <sz val="10"/>
      <name val="맑은 고딕"/>
      <family val="3"/>
      <charset val="129"/>
      <scheme val="major"/>
    </font>
    <font>
      <b/>
      <i/>
      <sz val="9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b/>
      <i/>
      <sz val="14"/>
      <color theme="0"/>
      <name val="맑은 고딕"/>
      <family val="3"/>
      <charset val="129"/>
      <scheme val="major"/>
    </font>
    <font>
      <i/>
      <sz val="8"/>
      <name val="맑은 고딕"/>
      <family val="3"/>
      <charset val="129"/>
      <scheme val="major"/>
    </font>
    <font>
      <b/>
      <i/>
      <sz val="11"/>
      <color theme="0"/>
      <name val="맑은 고딕"/>
      <family val="3"/>
      <charset val="129"/>
      <scheme val="major"/>
    </font>
    <font>
      <b/>
      <i/>
      <sz val="14"/>
      <color indexed="9"/>
      <name val="맑은 고딕"/>
      <family val="3"/>
      <charset val="129"/>
      <scheme val="major"/>
    </font>
    <font>
      <b/>
      <sz val="11"/>
      <color rgb="FF000000"/>
      <name val="Malgun Gothic"/>
      <family val="3"/>
      <charset val="129"/>
    </font>
    <font>
      <sz val="11"/>
      <color rgb="FF000000"/>
      <name val="Malgun Gothic"/>
      <family val="3"/>
      <charset val="129"/>
    </font>
    <font>
      <sz val="11"/>
      <color rgb="FF242424"/>
      <name val="Aptos Narrow"/>
      <family val="3"/>
      <charset val="129"/>
    </font>
    <font>
      <i/>
      <sz val="10"/>
      <name val="맑은 고딕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FFFFCC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0" fontId="3" fillId="4" borderId="55" applyNumberFormat="0" applyFont="0" applyAlignment="0" applyProtection="0">
      <alignment vertical="center"/>
    </xf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>
      <alignment vertical="center"/>
    </xf>
    <xf numFmtId="41" fontId="1" fillId="0" borderId="0" applyFont="0" applyFill="0" applyBorder="0" applyAlignment="0" applyProtection="0"/>
  </cellStyleXfs>
  <cellXfs count="239">
    <xf numFmtId="0" fontId="0" fillId="0" borderId="0" xfId="0"/>
    <xf numFmtId="0" fontId="4" fillId="0" borderId="0" xfId="0" applyFont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8" fillId="2" borderId="0" xfId="0" applyFont="1" applyFill="1" applyAlignment="1">
      <alignment horizontal="right"/>
    </xf>
    <xf numFmtId="0" fontId="9" fillId="0" borderId="0" xfId="0" applyFont="1" applyAlignment="1">
      <alignment horizontal="center" vertical="center"/>
    </xf>
    <xf numFmtId="41" fontId="10" fillId="0" borderId="2" xfId="3" applyFont="1" applyFill="1" applyBorder="1" applyAlignment="1">
      <alignment vertical="center"/>
    </xf>
    <xf numFmtId="41" fontId="10" fillId="0" borderId="0" xfId="3" applyFont="1" applyFill="1" applyBorder="1" applyAlignment="1">
      <alignment horizontal="center" vertical="center"/>
    </xf>
    <xf numFmtId="41" fontId="10" fillId="0" borderId="0" xfId="3" applyFont="1" applyFill="1" applyBorder="1" applyAlignment="1">
      <alignment vertical="center"/>
    </xf>
    <xf numFmtId="177" fontId="10" fillId="0" borderId="3" xfId="3" applyNumberFormat="1" applyFont="1" applyFill="1" applyBorder="1" applyAlignment="1">
      <alignment vertical="center"/>
    </xf>
    <xf numFmtId="9" fontId="10" fillId="0" borderId="0" xfId="2" applyFont="1" applyFill="1" applyBorder="1" applyAlignment="1">
      <alignment vertical="center"/>
    </xf>
    <xf numFmtId="41" fontId="10" fillId="0" borderId="4" xfId="3" applyFont="1" applyFill="1" applyBorder="1" applyAlignment="1">
      <alignment vertical="center"/>
    </xf>
    <xf numFmtId="177" fontId="11" fillId="0" borderId="5" xfId="3" applyNumberFormat="1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10" fillId="0" borderId="6" xfId="0" applyFont="1" applyBorder="1" applyAlignment="1">
      <alignment horizontal="center" vertical="center"/>
    </xf>
    <xf numFmtId="41" fontId="5" fillId="0" borderId="2" xfId="3" applyFont="1" applyFill="1" applyBorder="1" applyAlignment="1">
      <alignment vertical="center"/>
    </xf>
    <xf numFmtId="41" fontId="5" fillId="0" borderId="0" xfId="3" applyFont="1" applyFill="1" applyBorder="1" applyAlignment="1">
      <alignment horizontal="center" vertical="center"/>
    </xf>
    <xf numFmtId="41" fontId="5" fillId="0" borderId="0" xfId="3" applyFont="1" applyFill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41" fontId="5" fillId="2" borderId="0" xfId="3" applyFont="1" applyFill="1" applyBorder="1" applyAlignment="1">
      <alignment vertical="center"/>
    </xf>
    <xf numFmtId="0" fontId="10" fillId="2" borderId="0" xfId="0" applyFont="1" applyFill="1" applyAlignment="1">
      <alignment horizontal="center" vertical="center"/>
    </xf>
    <xf numFmtId="41" fontId="10" fillId="2" borderId="0" xfId="3" applyFont="1" applyFill="1" applyBorder="1" applyAlignment="1">
      <alignment vertical="center"/>
    </xf>
    <xf numFmtId="0" fontId="10" fillId="0" borderId="8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2" borderId="0" xfId="0" applyFont="1" applyFill="1" applyAlignment="1">
      <alignment horizontal="left" vertical="center"/>
    </xf>
    <xf numFmtId="9" fontId="5" fillId="0" borderId="0" xfId="2" applyFont="1" applyFill="1" applyBorder="1" applyAlignment="1">
      <alignment vertical="center"/>
    </xf>
    <xf numFmtId="176" fontId="5" fillId="0" borderId="0" xfId="3" applyNumberFormat="1" applyFont="1" applyFill="1" applyBorder="1" applyAlignment="1">
      <alignment vertical="center"/>
    </xf>
    <xf numFmtId="0" fontId="10" fillId="5" borderId="9" xfId="0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center" vertical="center" wrapText="1"/>
    </xf>
    <xf numFmtId="0" fontId="10" fillId="5" borderId="11" xfId="0" applyFont="1" applyFill="1" applyBorder="1" applyAlignment="1">
      <alignment horizontal="center" vertical="center" wrapText="1"/>
    </xf>
    <xf numFmtId="0" fontId="10" fillId="5" borderId="12" xfId="0" applyFont="1" applyFill="1" applyBorder="1" applyAlignment="1">
      <alignment horizontal="center" vertical="center" wrapText="1"/>
    </xf>
    <xf numFmtId="41" fontId="5" fillId="0" borderId="13" xfId="3" applyFont="1" applyFill="1" applyBorder="1" applyAlignment="1">
      <alignment horizontal="center" vertical="center"/>
    </xf>
    <xf numFmtId="41" fontId="5" fillId="0" borderId="14" xfId="3" applyFont="1" applyFill="1" applyBorder="1" applyAlignment="1">
      <alignment vertical="center"/>
    </xf>
    <xf numFmtId="0" fontId="10" fillId="5" borderId="15" xfId="0" applyFont="1" applyFill="1" applyBorder="1" applyAlignment="1">
      <alignment horizontal="center" vertical="center"/>
    </xf>
    <xf numFmtId="0" fontId="10" fillId="5" borderId="16" xfId="0" applyFont="1" applyFill="1" applyBorder="1" applyAlignment="1">
      <alignment horizontal="center" vertical="center"/>
    </xf>
    <xf numFmtId="0" fontId="10" fillId="5" borderId="17" xfId="0" applyFont="1" applyFill="1" applyBorder="1" applyAlignment="1">
      <alignment horizontal="center" vertical="center"/>
    </xf>
    <xf numFmtId="41" fontId="10" fillId="5" borderId="18" xfId="3" applyFont="1" applyFill="1" applyBorder="1" applyAlignment="1">
      <alignment vertical="center"/>
    </xf>
    <xf numFmtId="9" fontId="10" fillId="5" borderId="2" xfId="2" applyFont="1" applyFill="1" applyBorder="1" applyAlignment="1">
      <alignment vertical="center"/>
    </xf>
    <xf numFmtId="41" fontId="10" fillId="5" borderId="19" xfId="3" applyFont="1" applyFill="1" applyBorder="1" applyAlignment="1">
      <alignment vertical="center"/>
    </xf>
    <xf numFmtId="9" fontId="10" fillId="5" borderId="4" xfId="2" applyFont="1" applyFill="1" applyBorder="1" applyAlignment="1">
      <alignment vertical="center"/>
    </xf>
    <xf numFmtId="41" fontId="5" fillId="0" borderId="20" xfId="3" applyFont="1" applyFill="1" applyBorder="1" applyAlignment="1">
      <alignment horizontal="center" vertical="center"/>
    </xf>
    <xf numFmtId="41" fontId="5" fillId="0" borderId="21" xfId="3" applyFont="1" applyFill="1" applyBorder="1" applyAlignment="1">
      <alignment vertical="center"/>
    </xf>
    <xf numFmtId="0" fontId="13" fillId="0" borderId="22" xfId="0" applyFont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center" wrapText="1"/>
    </xf>
    <xf numFmtId="0" fontId="4" fillId="5" borderId="25" xfId="0" applyFont="1" applyFill="1" applyBorder="1" applyAlignment="1">
      <alignment horizontal="center" vertical="center" wrapText="1"/>
    </xf>
    <xf numFmtId="0" fontId="4" fillId="5" borderId="26" xfId="0" applyFont="1" applyFill="1" applyBorder="1" applyAlignment="1">
      <alignment horizontal="center" vertical="center"/>
    </xf>
    <xf numFmtId="0" fontId="4" fillId="5" borderId="27" xfId="0" applyFont="1" applyFill="1" applyBorder="1" applyAlignment="1">
      <alignment horizontal="center"/>
    </xf>
    <xf numFmtId="0" fontId="7" fillId="5" borderId="28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 vertical="center" wrapText="1"/>
    </xf>
    <xf numFmtId="0" fontId="4" fillId="5" borderId="29" xfId="0" applyFont="1" applyFill="1" applyBorder="1" applyAlignment="1">
      <alignment horizontal="center" vertical="center"/>
    </xf>
    <xf numFmtId="0" fontId="4" fillId="5" borderId="30" xfId="0" applyFont="1" applyFill="1" applyBorder="1" applyAlignment="1">
      <alignment horizontal="center" vertical="center"/>
    </xf>
    <xf numFmtId="41" fontId="7" fillId="5" borderId="31" xfId="3" applyFont="1" applyFill="1" applyBorder="1" applyAlignment="1">
      <alignment horizontal="center" vertical="center"/>
    </xf>
    <xf numFmtId="41" fontId="7" fillId="5" borderId="31" xfId="2" applyNumberFormat="1" applyFont="1" applyFill="1" applyBorder="1" applyAlignment="1">
      <alignment vertical="center"/>
    </xf>
    <xf numFmtId="41" fontId="7" fillId="5" borderId="32" xfId="3" applyFont="1" applyFill="1" applyBorder="1" applyAlignment="1">
      <alignment vertical="center"/>
    </xf>
    <xf numFmtId="176" fontId="7" fillId="5" borderId="32" xfId="3" applyNumberFormat="1" applyFont="1" applyFill="1" applyBorder="1" applyAlignment="1">
      <alignment vertical="center"/>
    </xf>
    <xf numFmtId="0" fontId="4" fillId="5" borderId="24" xfId="0" applyFont="1" applyFill="1" applyBorder="1" applyAlignment="1">
      <alignment horizontal="center" vertical="center"/>
    </xf>
    <xf numFmtId="41" fontId="7" fillId="5" borderId="3" xfId="3" applyFont="1" applyFill="1" applyBorder="1" applyAlignment="1">
      <alignment horizontal="center" vertical="center"/>
    </xf>
    <xf numFmtId="9" fontId="7" fillId="5" borderId="3" xfId="2" applyFont="1" applyFill="1" applyBorder="1" applyAlignment="1">
      <alignment vertical="center"/>
    </xf>
    <xf numFmtId="177" fontId="7" fillId="5" borderId="33" xfId="3" applyNumberFormat="1" applyFont="1" applyFill="1" applyBorder="1" applyAlignment="1">
      <alignment vertical="center"/>
    </xf>
    <xf numFmtId="0" fontId="4" fillId="5" borderId="25" xfId="0" applyFont="1" applyFill="1" applyBorder="1" applyAlignment="1">
      <alignment horizontal="center" vertical="center"/>
    </xf>
    <xf numFmtId="41" fontId="7" fillId="5" borderId="5" xfId="3" applyFont="1" applyFill="1" applyBorder="1" applyAlignment="1">
      <alignment horizontal="center" vertical="center"/>
    </xf>
    <xf numFmtId="9" fontId="7" fillId="5" borderId="5" xfId="2" applyFont="1" applyFill="1" applyBorder="1" applyAlignment="1">
      <alignment vertical="center"/>
    </xf>
    <xf numFmtId="177" fontId="7" fillId="5" borderId="34" xfId="3" applyNumberFormat="1" applyFont="1" applyFill="1" applyBorder="1" applyAlignment="1">
      <alignment vertical="center"/>
    </xf>
    <xf numFmtId="0" fontId="10" fillId="6" borderId="19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0" fillId="6" borderId="34" xfId="0" applyFont="1" applyFill="1" applyBorder="1" applyAlignment="1">
      <alignment horizontal="center" vertical="center"/>
    </xf>
    <xf numFmtId="0" fontId="10" fillId="6" borderId="26" xfId="0" applyFont="1" applyFill="1" applyBorder="1" applyAlignment="1">
      <alignment horizontal="center" vertical="center" wrapText="1"/>
    </xf>
    <xf numFmtId="0" fontId="10" fillId="6" borderId="15" xfId="0" applyFont="1" applyFill="1" applyBorder="1" applyAlignment="1">
      <alignment horizontal="center" vertical="center"/>
    </xf>
    <xf numFmtId="41" fontId="10" fillId="6" borderId="16" xfId="0" applyNumberFormat="1" applyFont="1" applyFill="1" applyBorder="1" applyAlignment="1">
      <alignment horizontal="center" vertical="center"/>
    </xf>
    <xf numFmtId="0" fontId="10" fillId="6" borderId="16" xfId="0" applyFont="1" applyFill="1" applyBorder="1" applyAlignment="1">
      <alignment horizontal="center" vertical="center"/>
    </xf>
    <xf numFmtId="41" fontId="10" fillId="6" borderId="35" xfId="0" applyNumberFormat="1" applyFont="1" applyFill="1" applyBorder="1" applyAlignment="1">
      <alignment horizontal="center" vertical="center"/>
    </xf>
    <xf numFmtId="177" fontId="5" fillId="6" borderId="14" xfId="3" applyNumberFormat="1" applyFont="1" applyFill="1" applyBorder="1" applyAlignment="1">
      <alignment vertical="center"/>
    </xf>
    <xf numFmtId="41" fontId="5" fillId="6" borderId="14" xfId="3" applyFont="1" applyFill="1" applyBorder="1" applyAlignment="1">
      <alignment vertical="center"/>
    </xf>
    <xf numFmtId="41" fontId="5" fillId="6" borderId="36" xfId="3" applyFont="1" applyFill="1" applyBorder="1" applyAlignment="1">
      <alignment horizontal="center" vertical="center"/>
    </xf>
    <xf numFmtId="177" fontId="5" fillId="6" borderId="2" xfId="3" applyNumberFormat="1" applyFont="1" applyFill="1" applyBorder="1" applyAlignment="1">
      <alignment vertical="center"/>
    </xf>
    <xf numFmtId="41" fontId="5" fillId="6" borderId="2" xfId="3" applyFont="1" applyFill="1" applyBorder="1" applyAlignment="1">
      <alignment vertical="center"/>
    </xf>
    <xf numFmtId="41" fontId="5" fillId="6" borderId="33" xfId="3" applyFont="1" applyFill="1" applyBorder="1" applyAlignment="1">
      <alignment horizontal="center" vertical="center"/>
    </xf>
    <xf numFmtId="177" fontId="5" fillId="6" borderId="21" xfId="3" applyNumberFormat="1" applyFont="1" applyFill="1" applyBorder="1" applyAlignment="1">
      <alignment vertical="center"/>
    </xf>
    <xf numFmtId="41" fontId="5" fillId="6" borderId="21" xfId="3" applyFont="1" applyFill="1" applyBorder="1" applyAlignment="1">
      <alignment vertical="center"/>
    </xf>
    <xf numFmtId="41" fontId="5" fillId="6" borderId="37" xfId="3" applyFont="1" applyFill="1" applyBorder="1" applyAlignment="1">
      <alignment horizontal="center" vertical="center"/>
    </xf>
    <xf numFmtId="0" fontId="10" fillId="7" borderId="19" xfId="0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horizontal="center" vertical="center"/>
    </xf>
    <xf numFmtId="0" fontId="10" fillId="7" borderId="34" xfId="0" applyFont="1" applyFill="1" applyBorder="1" applyAlignment="1">
      <alignment horizontal="center" vertical="center"/>
    </xf>
    <xf numFmtId="0" fontId="10" fillId="7" borderId="26" xfId="0" applyFont="1" applyFill="1" applyBorder="1" applyAlignment="1">
      <alignment horizontal="center" vertical="center" wrapText="1"/>
    </xf>
    <xf numFmtId="0" fontId="10" fillId="7" borderId="15" xfId="0" applyFont="1" applyFill="1" applyBorder="1" applyAlignment="1">
      <alignment horizontal="center" vertical="center"/>
    </xf>
    <xf numFmtId="41" fontId="10" fillId="7" borderId="16" xfId="0" applyNumberFormat="1" applyFont="1" applyFill="1" applyBorder="1" applyAlignment="1">
      <alignment horizontal="center" vertical="center"/>
    </xf>
    <xf numFmtId="0" fontId="10" fillId="7" borderId="16" xfId="0" applyFont="1" applyFill="1" applyBorder="1" applyAlignment="1">
      <alignment horizontal="center" vertical="center"/>
    </xf>
    <xf numFmtId="41" fontId="10" fillId="7" borderId="35" xfId="0" applyNumberFormat="1" applyFont="1" applyFill="1" applyBorder="1" applyAlignment="1">
      <alignment horizontal="center" vertical="center"/>
    </xf>
    <xf numFmtId="177" fontId="5" fillId="7" borderId="14" xfId="3" applyNumberFormat="1" applyFont="1" applyFill="1" applyBorder="1" applyAlignment="1">
      <alignment vertical="center"/>
    </xf>
    <xf numFmtId="41" fontId="5" fillId="7" borderId="14" xfId="3" applyFont="1" applyFill="1" applyBorder="1" applyAlignment="1">
      <alignment vertical="center"/>
    </xf>
    <xf numFmtId="41" fontId="5" fillId="7" borderId="36" xfId="3" applyFont="1" applyFill="1" applyBorder="1" applyAlignment="1">
      <alignment horizontal="center" vertical="center"/>
    </xf>
    <xf numFmtId="177" fontId="5" fillId="7" borderId="2" xfId="3" applyNumberFormat="1" applyFont="1" applyFill="1" applyBorder="1" applyAlignment="1">
      <alignment vertical="center"/>
    </xf>
    <xf numFmtId="41" fontId="5" fillId="7" borderId="2" xfId="3" applyFont="1" applyFill="1" applyBorder="1" applyAlignment="1">
      <alignment vertical="center"/>
    </xf>
    <xf numFmtId="41" fontId="5" fillId="7" borderId="33" xfId="3" applyFont="1" applyFill="1" applyBorder="1" applyAlignment="1">
      <alignment horizontal="center" vertical="center"/>
    </xf>
    <xf numFmtId="177" fontId="5" fillId="7" borderId="21" xfId="3" applyNumberFormat="1" applyFont="1" applyFill="1" applyBorder="1" applyAlignment="1">
      <alignment vertical="center"/>
    </xf>
    <xf numFmtId="41" fontId="5" fillId="7" borderId="21" xfId="3" applyFont="1" applyFill="1" applyBorder="1" applyAlignment="1">
      <alignment vertical="center"/>
    </xf>
    <xf numFmtId="41" fontId="5" fillId="7" borderId="37" xfId="3" applyFont="1" applyFill="1" applyBorder="1" applyAlignment="1">
      <alignment horizontal="center" vertical="center"/>
    </xf>
    <xf numFmtId="176" fontId="7" fillId="0" borderId="33" xfId="3" applyNumberFormat="1" applyFont="1" applyFill="1" applyBorder="1" applyAlignment="1">
      <alignment vertical="center"/>
    </xf>
    <xf numFmtId="176" fontId="7" fillId="0" borderId="34" xfId="3" applyNumberFormat="1" applyFont="1" applyFill="1" applyBorder="1" applyAlignment="1">
      <alignment vertical="center"/>
    </xf>
    <xf numFmtId="9" fontId="4" fillId="2" borderId="0" xfId="2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right"/>
    </xf>
    <xf numFmtId="41" fontId="10" fillId="5" borderId="14" xfId="3" applyFont="1" applyFill="1" applyBorder="1" applyAlignment="1">
      <alignment vertical="center"/>
    </xf>
    <xf numFmtId="41" fontId="10" fillId="5" borderId="13" xfId="3" applyFont="1" applyFill="1" applyBorder="1" applyAlignment="1">
      <alignment horizontal="center" vertical="center"/>
    </xf>
    <xf numFmtId="41" fontId="5" fillId="0" borderId="38" xfId="3" applyFont="1" applyFill="1" applyBorder="1" applyAlignment="1">
      <alignment horizontal="center" vertical="center"/>
    </xf>
    <xf numFmtId="41" fontId="10" fillId="5" borderId="38" xfId="3" applyFont="1" applyFill="1" applyBorder="1" applyAlignment="1">
      <alignment vertical="center"/>
    </xf>
    <xf numFmtId="0" fontId="10" fillId="0" borderId="0" xfId="0" applyFont="1" applyAlignment="1">
      <alignment horizontal="center" vertical="center" wrapText="1"/>
    </xf>
    <xf numFmtId="41" fontId="14" fillId="0" borderId="0" xfId="3" applyFont="1" applyFill="1" applyBorder="1" applyAlignment="1">
      <alignment horizontal="center" vertical="center"/>
    </xf>
    <xf numFmtId="43" fontId="5" fillId="2" borderId="0" xfId="0" applyNumberFormat="1" applyFont="1" applyFill="1" applyAlignment="1">
      <alignment horizontal="left" vertical="center"/>
    </xf>
    <xf numFmtId="41" fontId="10" fillId="2" borderId="0" xfId="3" applyFont="1" applyFill="1" applyBorder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0" fontId="5" fillId="2" borderId="58" xfId="0" applyFont="1" applyFill="1" applyBorder="1" applyAlignment="1">
      <alignment horizontal="center" vertical="center"/>
    </xf>
    <xf numFmtId="41" fontId="5" fillId="2" borderId="58" xfId="0" applyNumberFormat="1" applyFont="1" applyFill="1" applyBorder="1" applyAlignment="1">
      <alignment vertical="center"/>
    </xf>
    <xf numFmtId="178" fontId="5" fillId="2" borderId="0" xfId="0" applyNumberFormat="1" applyFont="1" applyFill="1" applyAlignment="1">
      <alignment vertical="center"/>
    </xf>
    <xf numFmtId="3" fontId="5" fillId="2" borderId="0" xfId="0" applyNumberFormat="1" applyFont="1" applyFill="1" applyAlignment="1">
      <alignment vertical="center"/>
    </xf>
    <xf numFmtId="41" fontId="5" fillId="2" borderId="58" xfId="0" applyNumberFormat="1" applyFont="1" applyFill="1" applyBorder="1" applyAlignment="1">
      <alignment horizontal="center" vertical="center"/>
    </xf>
    <xf numFmtId="43" fontId="5" fillId="2" borderId="58" xfId="0" applyNumberFormat="1" applyFont="1" applyFill="1" applyBorder="1" applyAlignment="1">
      <alignment horizontal="center" vertical="center"/>
    </xf>
    <xf numFmtId="3" fontId="20" fillId="10" borderId="0" xfId="0" applyNumberFormat="1" applyFont="1" applyFill="1"/>
    <xf numFmtId="0" fontId="20" fillId="0" borderId="0" xfId="0" applyFont="1"/>
    <xf numFmtId="14" fontId="5" fillId="0" borderId="0" xfId="3" applyNumberFormat="1" applyFont="1" applyFill="1" applyBorder="1" applyAlignment="1">
      <alignment vertical="center"/>
    </xf>
    <xf numFmtId="3" fontId="5" fillId="11" borderId="0" xfId="0" applyNumberFormat="1" applyFont="1" applyFill="1" applyAlignment="1">
      <alignment vertical="center"/>
    </xf>
    <xf numFmtId="41" fontId="5" fillId="0" borderId="0" xfId="3" applyFont="1" applyFill="1" applyBorder="1" applyAlignment="1">
      <alignment vertical="center" shrinkToFit="1"/>
    </xf>
    <xf numFmtId="41" fontId="5" fillId="12" borderId="0" xfId="3" applyFont="1" applyFill="1" applyBorder="1" applyAlignment="1">
      <alignment vertical="center"/>
    </xf>
    <xf numFmtId="41" fontId="5" fillId="13" borderId="0" xfId="3" applyFont="1" applyFill="1" applyBorder="1" applyAlignment="1">
      <alignment vertical="center"/>
    </xf>
    <xf numFmtId="3" fontId="5" fillId="0" borderId="0" xfId="0" applyNumberFormat="1" applyFont="1" applyAlignment="1">
      <alignment vertical="center"/>
    </xf>
    <xf numFmtId="41" fontId="5" fillId="13" borderId="0" xfId="3" applyFont="1" applyFill="1" applyBorder="1" applyAlignment="1">
      <alignment vertical="center" shrinkToFit="1"/>
    </xf>
    <xf numFmtId="41" fontId="5" fillId="11" borderId="0" xfId="3" applyFont="1" applyFill="1" applyBorder="1" applyAlignment="1">
      <alignment vertical="center"/>
    </xf>
    <xf numFmtId="41" fontId="5" fillId="0" borderId="38" xfId="3" applyFont="1" applyFill="1" applyBorder="1" applyAlignment="1">
      <alignment horizontal="center" vertical="center" wrapText="1"/>
    </xf>
    <xf numFmtId="41" fontId="5" fillId="0" borderId="13" xfId="3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vertical="center"/>
    </xf>
    <xf numFmtId="9" fontId="4" fillId="2" borderId="0" xfId="2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4" fillId="0" borderId="0" xfId="0" applyFont="1" applyAlignment="1">
      <alignment horizontal="left"/>
    </xf>
    <xf numFmtId="0" fontId="10" fillId="5" borderId="44" xfId="0" applyFont="1" applyFill="1" applyBorder="1" applyAlignment="1">
      <alignment horizontal="center" vertical="center"/>
    </xf>
    <xf numFmtId="0" fontId="10" fillId="5" borderId="54" xfId="0" applyFont="1" applyFill="1" applyBorder="1" applyAlignment="1">
      <alignment horizontal="center" vertical="center"/>
    </xf>
    <xf numFmtId="0" fontId="10" fillId="5" borderId="28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right"/>
    </xf>
    <xf numFmtId="0" fontId="9" fillId="6" borderId="44" xfId="0" applyFont="1" applyFill="1" applyBorder="1" applyAlignment="1">
      <alignment horizontal="center" vertical="center"/>
    </xf>
    <xf numFmtId="0" fontId="9" fillId="6" borderId="45" xfId="0" applyFont="1" applyFill="1" applyBorder="1" applyAlignment="1">
      <alignment horizontal="center" vertical="center"/>
    </xf>
    <xf numFmtId="0" fontId="9" fillId="7" borderId="44" xfId="0" applyFont="1" applyFill="1" applyBorder="1" applyAlignment="1">
      <alignment horizontal="center" vertical="center"/>
    </xf>
    <xf numFmtId="0" fontId="9" fillId="7" borderId="45" xfId="0" applyFont="1" applyFill="1" applyBorder="1" applyAlignment="1">
      <alignment horizontal="center" vertical="center"/>
    </xf>
    <xf numFmtId="0" fontId="10" fillId="6" borderId="27" xfId="0" applyFont="1" applyFill="1" applyBorder="1" applyAlignment="1">
      <alignment horizontal="center" vertical="center"/>
    </xf>
    <xf numFmtId="0" fontId="10" fillId="6" borderId="28" xfId="0" applyFont="1" applyFill="1" applyBorder="1" applyAlignment="1">
      <alignment horizontal="center" vertical="center"/>
    </xf>
    <xf numFmtId="0" fontId="10" fillId="6" borderId="41" xfId="0" applyFont="1" applyFill="1" applyBorder="1" applyAlignment="1">
      <alignment horizontal="center" vertical="center"/>
    </xf>
    <xf numFmtId="0" fontId="10" fillId="6" borderId="42" xfId="0" applyFont="1" applyFill="1" applyBorder="1" applyAlignment="1">
      <alignment horizontal="center" vertical="center"/>
    </xf>
    <xf numFmtId="0" fontId="10" fillId="6" borderId="31" xfId="0" applyFont="1" applyFill="1" applyBorder="1" applyAlignment="1">
      <alignment horizontal="center" vertical="center"/>
    </xf>
    <xf numFmtId="0" fontId="10" fillId="7" borderId="27" xfId="0" applyFont="1" applyFill="1" applyBorder="1" applyAlignment="1">
      <alignment horizontal="center" vertical="center"/>
    </xf>
    <xf numFmtId="0" fontId="10" fillId="7" borderId="28" xfId="0" applyFont="1" applyFill="1" applyBorder="1" applyAlignment="1">
      <alignment horizontal="center" vertical="center"/>
    </xf>
    <xf numFmtId="0" fontId="10" fillId="7" borderId="41" xfId="0" applyFont="1" applyFill="1" applyBorder="1" applyAlignment="1">
      <alignment horizontal="center" vertical="center"/>
    </xf>
    <xf numFmtId="0" fontId="10" fillId="7" borderId="42" xfId="0" applyFont="1" applyFill="1" applyBorder="1" applyAlignment="1">
      <alignment horizontal="center" vertical="center"/>
    </xf>
    <xf numFmtId="0" fontId="10" fillId="7" borderId="31" xfId="0" applyFont="1" applyFill="1" applyBorder="1" applyAlignment="1">
      <alignment horizontal="center" vertical="center"/>
    </xf>
    <xf numFmtId="0" fontId="10" fillId="6" borderId="54" xfId="0" applyFont="1" applyFill="1" applyBorder="1" applyAlignment="1">
      <alignment horizontal="center" vertical="center" wrapText="1"/>
    </xf>
    <xf numFmtId="0" fontId="10" fillId="7" borderId="54" xfId="0" applyFont="1" applyFill="1" applyBorder="1" applyAlignment="1">
      <alignment horizontal="center" vertical="center" wrapText="1"/>
    </xf>
    <xf numFmtId="0" fontId="13" fillId="9" borderId="44" xfId="0" applyFont="1" applyFill="1" applyBorder="1" applyAlignment="1">
      <alignment horizontal="center" vertical="center"/>
    </xf>
    <xf numFmtId="0" fontId="13" fillId="9" borderId="45" xfId="0" applyFont="1" applyFill="1" applyBorder="1" applyAlignment="1">
      <alignment horizontal="center" vertical="center"/>
    </xf>
    <xf numFmtId="41" fontId="12" fillId="5" borderId="52" xfId="3" applyFont="1" applyFill="1" applyBorder="1" applyAlignment="1">
      <alignment horizontal="center" vertical="center"/>
    </xf>
    <xf numFmtId="41" fontId="12" fillId="5" borderId="36" xfId="3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4" fillId="5" borderId="53" xfId="0" applyFont="1" applyFill="1" applyBorder="1" applyAlignment="1">
      <alignment horizontal="center" vertical="center"/>
    </xf>
    <xf numFmtId="0" fontId="4" fillId="5" borderId="35" xfId="0" applyFont="1" applyFill="1" applyBorder="1" applyAlignment="1">
      <alignment horizontal="center" vertical="center"/>
    </xf>
    <xf numFmtId="41" fontId="10" fillId="5" borderId="13" xfId="3" applyFont="1" applyFill="1" applyBorder="1" applyAlignment="1">
      <alignment vertical="center"/>
    </xf>
    <xf numFmtId="41" fontId="10" fillId="5" borderId="14" xfId="3" applyFont="1" applyFill="1" applyBorder="1" applyAlignment="1">
      <alignment vertical="center"/>
    </xf>
    <xf numFmtId="41" fontId="12" fillId="5" borderId="14" xfId="3" applyFont="1" applyFill="1" applyBorder="1" applyAlignment="1">
      <alignment vertical="center"/>
    </xf>
    <xf numFmtId="41" fontId="12" fillId="5" borderId="18" xfId="3" applyFont="1" applyFill="1" applyBorder="1" applyAlignment="1">
      <alignment vertical="center"/>
    </xf>
    <xf numFmtId="41" fontId="10" fillId="5" borderId="13" xfId="3" applyFont="1" applyFill="1" applyBorder="1" applyAlignment="1">
      <alignment horizontal="center" vertical="center"/>
    </xf>
    <xf numFmtId="41" fontId="10" fillId="5" borderId="14" xfId="3" applyFont="1" applyFill="1" applyBorder="1" applyAlignment="1">
      <alignment horizontal="center" vertical="center"/>
    </xf>
    <xf numFmtId="41" fontId="5" fillId="5" borderId="4" xfId="3" applyFont="1" applyFill="1" applyBorder="1" applyAlignment="1">
      <alignment horizontal="center" vertical="center"/>
    </xf>
    <xf numFmtId="41" fontId="5" fillId="5" borderId="5" xfId="3" applyFont="1" applyFill="1" applyBorder="1" applyAlignment="1">
      <alignment horizontal="center" vertical="center"/>
    </xf>
    <xf numFmtId="41" fontId="5" fillId="5" borderId="38" xfId="3" applyFont="1" applyFill="1" applyBorder="1" applyAlignment="1">
      <alignment horizontal="center" vertical="center"/>
    </xf>
    <xf numFmtId="41" fontId="5" fillId="5" borderId="2" xfId="3" applyFont="1" applyFill="1" applyBorder="1" applyAlignment="1">
      <alignment horizontal="center" vertical="center"/>
    </xf>
    <xf numFmtId="177" fontId="5" fillId="5" borderId="2" xfId="3" applyNumberFormat="1" applyFont="1" applyFill="1" applyBorder="1" applyAlignment="1">
      <alignment horizontal="center" vertical="center"/>
    </xf>
    <xf numFmtId="41" fontId="5" fillId="5" borderId="3" xfId="3" applyFont="1" applyFill="1" applyBorder="1" applyAlignment="1">
      <alignment horizontal="center" vertical="center"/>
    </xf>
    <xf numFmtId="41" fontId="5" fillId="0" borderId="38" xfId="3" applyFont="1" applyFill="1" applyBorder="1" applyAlignment="1">
      <alignment horizontal="center" vertical="center"/>
    </xf>
    <xf numFmtId="41" fontId="5" fillId="0" borderId="2" xfId="3" applyFont="1" applyFill="1" applyBorder="1" applyAlignment="1">
      <alignment horizontal="center" vertical="center"/>
    </xf>
    <xf numFmtId="177" fontId="19" fillId="0" borderId="2" xfId="3" applyNumberFormat="1" applyFont="1" applyFill="1" applyBorder="1" applyAlignment="1">
      <alignment horizontal="center" vertical="center"/>
    </xf>
    <xf numFmtId="177" fontId="5" fillId="0" borderId="2" xfId="3" applyNumberFormat="1" applyFont="1" applyFill="1" applyBorder="1" applyAlignment="1">
      <alignment horizontal="center" vertical="center"/>
    </xf>
    <xf numFmtId="41" fontId="5" fillId="5" borderId="19" xfId="3" applyFont="1" applyFill="1" applyBorder="1" applyAlignment="1">
      <alignment horizontal="center" vertical="center"/>
    </xf>
    <xf numFmtId="177" fontId="5" fillId="5" borderId="4" xfId="3" applyNumberFormat="1" applyFont="1" applyFill="1" applyBorder="1" applyAlignment="1">
      <alignment horizontal="center" vertical="center"/>
    </xf>
    <xf numFmtId="41" fontId="5" fillId="0" borderId="25" xfId="3" applyFont="1" applyFill="1" applyBorder="1" applyAlignment="1">
      <alignment horizontal="center" vertical="center"/>
    </xf>
    <xf numFmtId="41" fontId="5" fillId="0" borderId="39" xfId="3" applyFont="1" applyFill="1" applyBorder="1" applyAlignment="1">
      <alignment horizontal="center" vertical="center"/>
    </xf>
    <xf numFmtId="177" fontId="18" fillId="0" borderId="29" xfId="3" applyNumberFormat="1" applyFont="1" applyFill="1" applyBorder="1" applyAlignment="1">
      <alignment horizontal="center" vertical="center"/>
    </xf>
    <xf numFmtId="177" fontId="18" fillId="0" borderId="39" xfId="3" applyNumberFormat="1" applyFont="1" applyFill="1" applyBorder="1" applyAlignment="1">
      <alignment horizontal="center" vertical="center"/>
    </xf>
    <xf numFmtId="41" fontId="10" fillId="5" borderId="38" xfId="3" applyFont="1" applyFill="1" applyBorder="1" applyAlignment="1">
      <alignment vertical="center"/>
    </xf>
    <xf numFmtId="41" fontId="10" fillId="5" borderId="2" xfId="3" applyFont="1" applyFill="1" applyBorder="1" applyAlignment="1">
      <alignment vertical="center"/>
    </xf>
    <xf numFmtId="41" fontId="12" fillId="5" borderId="2" xfId="3" applyFont="1" applyFill="1" applyBorder="1" applyAlignment="1">
      <alignment vertical="center"/>
    </xf>
    <xf numFmtId="41" fontId="12" fillId="5" borderId="3" xfId="3" applyFont="1" applyFill="1" applyBorder="1" applyAlignment="1">
      <alignment vertical="center"/>
    </xf>
    <xf numFmtId="41" fontId="5" fillId="0" borderId="8" xfId="3" applyFont="1" applyFill="1" applyBorder="1" applyAlignment="1">
      <alignment horizontal="center" vertical="center"/>
    </xf>
    <xf numFmtId="41" fontId="5" fillId="0" borderId="0" xfId="3" applyFont="1" applyFill="1" applyBorder="1" applyAlignment="1">
      <alignment horizontal="center" vertical="center"/>
    </xf>
    <xf numFmtId="0" fontId="8" fillId="0" borderId="7" xfId="0" applyFont="1" applyBorder="1" applyAlignment="1">
      <alignment horizontal="right"/>
    </xf>
    <xf numFmtId="0" fontId="4" fillId="5" borderId="41" xfId="0" applyFont="1" applyFill="1" applyBorder="1" applyAlignment="1">
      <alignment horizontal="center" vertical="center"/>
    </xf>
    <xf numFmtId="0" fontId="4" fillId="5" borderId="42" xfId="0" applyFont="1" applyFill="1" applyBorder="1" applyAlignment="1">
      <alignment horizontal="center" vertical="center"/>
    </xf>
    <xf numFmtId="0" fontId="4" fillId="5" borderId="51" xfId="0" applyFont="1" applyFill="1" applyBorder="1" applyAlignment="1">
      <alignment horizontal="center" vertical="center"/>
    </xf>
    <xf numFmtId="0" fontId="4" fillId="5" borderId="32" xfId="0" applyFont="1" applyFill="1" applyBorder="1" applyAlignment="1">
      <alignment horizontal="center" vertical="center"/>
    </xf>
    <xf numFmtId="0" fontId="4" fillId="5" borderId="44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5" borderId="45" xfId="0" applyFont="1" applyFill="1" applyBorder="1" applyAlignment="1">
      <alignment horizontal="center" vertical="center" wrapText="1"/>
    </xf>
    <xf numFmtId="0" fontId="4" fillId="5" borderId="46" xfId="0" applyFont="1" applyFill="1" applyBorder="1" applyAlignment="1">
      <alignment horizontal="center" vertical="center"/>
    </xf>
    <xf numFmtId="0" fontId="4" fillId="5" borderId="47" xfId="0" applyFont="1" applyFill="1" applyBorder="1" applyAlignment="1">
      <alignment horizontal="center" vertical="center"/>
    </xf>
    <xf numFmtId="0" fontId="4" fillId="5" borderId="48" xfId="0" applyFont="1" applyFill="1" applyBorder="1" applyAlignment="1">
      <alignment horizontal="center" vertical="center"/>
    </xf>
    <xf numFmtId="0" fontId="4" fillId="5" borderId="34" xfId="0" applyFont="1" applyFill="1" applyBorder="1" applyAlignment="1">
      <alignment horizontal="center" vertical="center"/>
    </xf>
    <xf numFmtId="0" fontId="4" fillId="5" borderId="49" xfId="0" applyFont="1" applyFill="1" applyBorder="1" applyAlignment="1">
      <alignment horizontal="center" vertical="center" wrapText="1"/>
    </xf>
    <xf numFmtId="0" fontId="4" fillId="5" borderId="50" xfId="0" applyFont="1" applyFill="1" applyBorder="1" applyAlignment="1">
      <alignment horizontal="center" vertical="center" wrapText="1"/>
    </xf>
    <xf numFmtId="178" fontId="5" fillId="2" borderId="56" xfId="0" applyNumberFormat="1" applyFont="1" applyFill="1" applyBorder="1" applyAlignment="1">
      <alignment horizontal="center" vertical="center"/>
    </xf>
    <xf numFmtId="178" fontId="5" fillId="2" borderId="57" xfId="0" applyNumberFormat="1" applyFont="1" applyFill="1" applyBorder="1" applyAlignment="1">
      <alignment horizontal="center" vertical="center"/>
    </xf>
    <xf numFmtId="177" fontId="5" fillId="5" borderId="5" xfId="3" applyNumberFormat="1" applyFont="1" applyFill="1" applyBorder="1" applyAlignment="1">
      <alignment horizontal="center" vertical="center"/>
    </xf>
    <xf numFmtId="0" fontId="13" fillId="9" borderId="8" xfId="0" applyFont="1" applyFill="1" applyBorder="1" applyAlignment="1">
      <alignment horizontal="center" vertical="center"/>
    </xf>
    <xf numFmtId="177" fontId="5" fillId="5" borderId="3" xfId="3" applyNumberFormat="1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/>
    </xf>
    <xf numFmtId="41" fontId="7" fillId="5" borderId="30" xfId="3" applyFont="1" applyFill="1" applyBorder="1" applyAlignment="1">
      <alignment horizontal="center" vertical="center"/>
    </xf>
    <xf numFmtId="41" fontId="7" fillId="5" borderId="40" xfId="3" applyFont="1" applyFill="1" applyBorder="1" applyAlignment="1">
      <alignment horizontal="center" vertical="center"/>
    </xf>
    <xf numFmtId="41" fontId="7" fillId="5" borderId="41" xfId="3" applyFont="1" applyFill="1" applyBorder="1" applyAlignment="1">
      <alignment horizontal="center" vertical="center"/>
    </xf>
    <xf numFmtId="41" fontId="7" fillId="5" borderId="42" xfId="3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41" fontId="7" fillId="5" borderId="24" xfId="3" applyFont="1" applyFill="1" applyBorder="1" applyAlignment="1">
      <alignment horizontal="center" vertical="center"/>
    </xf>
    <xf numFmtId="41" fontId="7" fillId="5" borderId="43" xfId="3" applyFont="1" applyFill="1" applyBorder="1" applyAlignment="1">
      <alignment horizontal="center" vertical="center"/>
    </xf>
    <xf numFmtId="41" fontId="7" fillId="5" borderId="38" xfId="3" applyFont="1" applyFill="1" applyBorder="1" applyAlignment="1">
      <alignment horizontal="center" vertical="center"/>
    </xf>
    <xf numFmtId="41" fontId="7" fillId="5" borderId="2" xfId="3" applyFont="1" applyFill="1" applyBorder="1" applyAlignment="1">
      <alignment horizontal="center" vertical="center"/>
    </xf>
    <xf numFmtId="41" fontId="15" fillId="8" borderId="2" xfId="3" applyFont="1" applyFill="1" applyBorder="1" applyAlignment="1">
      <alignment horizontal="center" vertical="center"/>
    </xf>
    <xf numFmtId="41" fontId="7" fillId="5" borderId="25" xfId="3" applyFont="1" applyFill="1" applyBorder="1" applyAlignment="1">
      <alignment horizontal="center" vertical="center"/>
    </xf>
    <xf numFmtId="41" fontId="7" fillId="5" borderId="39" xfId="3" applyFont="1" applyFill="1" applyBorder="1" applyAlignment="1">
      <alignment horizontal="center" vertical="center"/>
    </xf>
    <xf numFmtId="41" fontId="7" fillId="5" borderId="19" xfId="3" applyFont="1" applyFill="1" applyBorder="1" applyAlignment="1">
      <alignment horizontal="center" vertical="center"/>
    </xf>
    <xf numFmtId="41" fontId="7" fillId="5" borderId="4" xfId="3" applyFont="1" applyFill="1" applyBorder="1" applyAlignment="1">
      <alignment horizontal="center" vertical="center"/>
    </xf>
    <xf numFmtId="41" fontId="15" fillId="8" borderId="4" xfId="3" applyFont="1" applyFill="1" applyBorder="1" applyAlignment="1">
      <alignment horizontal="center" vertical="center"/>
    </xf>
    <xf numFmtId="177" fontId="19" fillId="0" borderId="4" xfId="3" applyNumberFormat="1" applyFont="1" applyFill="1" applyBorder="1" applyAlignment="1">
      <alignment horizontal="center" vertical="center"/>
    </xf>
    <xf numFmtId="177" fontId="5" fillId="0" borderId="4" xfId="3" applyNumberFormat="1" applyFont="1" applyFill="1" applyBorder="1" applyAlignment="1">
      <alignment horizontal="center" vertical="center"/>
    </xf>
  </cellXfs>
  <cellStyles count="6">
    <cellStyle name="메모 2" xfId="1" xr:uid="{00000000-0005-0000-0000-000000000000}"/>
    <cellStyle name="백분율" xfId="2" builtinId="5"/>
    <cellStyle name="쉼표 [0]" xfId="3" builtinId="6"/>
    <cellStyle name="쉼표 [0] 2 2 2" xfId="5" xr:uid="{00000000-0005-0000-0000-000003000000}"/>
    <cellStyle name="표준" xfId="0" builtinId="0"/>
    <cellStyle name="표준 2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styles" Target="styles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50" Type="http://schemas.openxmlformats.org/officeDocument/2006/relationships/sharedStrings" Target="sharedStrings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calcChain" Target="calcChain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customXml" Target="../customXml/item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customXml" Target="../customXml/item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customXml" Target="../customXml/item3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Y124"/>
  <sheetViews>
    <sheetView showGridLines="0" topLeftCell="A28" zoomScaleNormal="100" workbookViewId="0">
      <selection activeCell="I7" sqref="I7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v>27252</v>
      </c>
      <c r="F9" s="42">
        <v>0.13625999999999999</v>
      </c>
      <c r="G9" s="10">
        <v>1061.6454695227444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400000</v>
      </c>
      <c r="E10" s="12">
        <v>74710</v>
      </c>
      <c r="F10" s="44">
        <v>0.186775</v>
      </c>
      <c r="G10" s="13">
        <v>1506.3923785901768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>
        <v>1000</v>
      </c>
      <c r="E16" s="37"/>
      <c r="F16" s="77">
        <v>1061.6454695227444</v>
      </c>
      <c r="G16" s="78">
        <v>-1061.6454695227444</v>
      </c>
      <c r="H16" s="79">
        <v>-1061645.4695227444</v>
      </c>
      <c r="I16" s="17"/>
      <c r="J16" s="159" t="s">
        <v>22</v>
      </c>
      <c r="K16" s="36"/>
      <c r="L16" s="37"/>
      <c r="M16" s="37"/>
      <c r="N16" s="94" t="s">
        <v>23</v>
      </c>
      <c r="O16" s="95" t="s">
        <v>23</v>
      </c>
      <c r="P16" s="96" t="s">
        <v>23</v>
      </c>
    </row>
    <row r="17" spans="2:18" ht="24" customHeight="1">
      <c r="B17" s="158"/>
      <c r="C17" s="110"/>
      <c r="D17" s="16"/>
      <c r="E17" s="16"/>
      <c r="F17" s="80" t="s">
        <v>23</v>
      </c>
      <c r="G17" s="81" t="s">
        <v>23</v>
      </c>
      <c r="H17" s="82" t="s">
        <v>23</v>
      </c>
      <c r="I17" s="17"/>
      <c r="J17" s="159"/>
      <c r="K17" s="110"/>
      <c r="L17" s="16"/>
      <c r="M17" s="16"/>
      <c r="N17" s="97" t="s">
        <v>23</v>
      </c>
      <c r="O17" s="98" t="s">
        <v>23</v>
      </c>
      <c r="P17" s="99" t="s">
        <v>23</v>
      </c>
    </row>
    <row r="18" spans="2:18" ht="24" customHeight="1">
      <c r="B18" s="158"/>
      <c r="C18" s="110"/>
      <c r="D18" s="16"/>
      <c r="E18" s="16"/>
      <c r="F18" s="80" t="s">
        <v>23</v>
      </c>
      <c r="G18" s="81" t="s">
        <v>23</v>
      </c>
      <c r="H18" s="82" t="s">
        <v>23</v>
      </c>
      <c r="I18" s="17"/>
      <c r="J18" s="159"/>
      <c r="K18" s="110"/>
      <c r="L18" s="16"/>
      <c r="M18" s="16"/>
      <c r="N18" s="97" t="s">
        <v>23</v>
      </c>
      <c r="O18" s="98" t="s">
        <v>23</v>
      </c>
      <c r="P18" s="99" t="s">
        <v>23</v>
      </c>
    </row>
    <row r="19" spans="2:18" ht="24" customHeight="1">
      <c r="B19" s="158"/>
      <c r="C19" s="110"/>
      <c r="D19" s="16"/>
      <c r="E19" s="16"/>
      <c r="F19" s="80" t="s">
        <v>23</v>
      </c>
      <c r="G19" s="81" t="s">
        <v>23</v>
      </c>
      <c r="H19" s="82" t="s">
        <v>23</v>
      </c>
      <c r="I19" s="17"/>
      <c r="J19" s="159"/>
      <c r="K19" s="110"/>
      <c r="L19" s="16"/>
      <c r="M19" s="16"/>
      <c r="N19" s="97" t="s">
        <v>23</v>
      </c>
      <c r="O19" s="98" t="s">
        <v>23</v>
      </c>
      <c r="P19" s="99" t="s">
        <v>23</v>
      </c>
    </row>
    <row r="20" spans="2:18" ht="24" customHeight="1">
      <c r="B20" s="158"/>
      <c r="C20" s="110"/>
      <c r="D20" s="16"/>
      <c r="E20" s="16"/>
      <c r="F20" s="80" t="s">
        <v>23</v>
      </c>
      <c r="G20" s="81" t="s">
        <v>23</v>
      </c>
      <c r="H20" s="82" t="s">
        <v>23</v>
      </c>
      <c r="I20" s="17"/>
      <c r="J20" s="159"/>
      <c r="K20" s="110"/>
      <c r="L20" s="16"/>
      <c r="M20" s="16"/>
      <c r="N20" s="97" t="s">
        <v>23</v>
      </c>
      <c r="O20" s="98" t="s">
        <v>23</v>
      </c>
      <c r="P20" s="99" t="s">
        <v>23</v>
      </c>
    </row>
    <row r="21" spans="2:18" ht="24" customHeight="1">
      <c r="B21" s="158"/>
      <c r="C21" s="110"/>
      <c r="D21" s="16"/>
      <c r="E21" s="16"/>
      <c r="F21" s="80" t="s">
        <v>23</v>
      </c>
      <c r="G21" s="81" t="s">
        <v>23</v>
      </c>
      <c r="H21" s="82" t="s">
        <v>23</v>
      </c>
      <c r="I21" s="17"/>
      <c r="J21" s="159"/>
      <c r="K21" s="110"/>
      <c r="L21" s="16"/>
      <c r="M21" s="16"/>
      <c r="N21" s="97" t="s">
        <v>23</v>
      </c>
      <c r="O21" s="98" t="s">
        <v>23</v>
      </c>
      <c r="P21" s="99" t="s">
        <v>23</v>
      </c>
    </row>
    <row r="22" spans="2:18" ht="24" customHeight="1">
      <c r="B22" s="158"/>
      <c r="C22" s="45"/>
      <c r="D22" s="46"/>
      <c r="E22" s="46"/>
      <c r="F22" s="83" t="s">
        <v>23</v>
      </c>
      <c r="G22" s="84" t="s">
        <v>23</v>
      </c>
      <c r="H22" s="85" t="s">
        <v>23</v>
      </c>
      <c r="I22" s="17"/>
      <c r="J22" s="159"/>
      <c r="K22" s="45"/>
      <c r="L22" s="46"/>
      <c r="M22" s="46"/>
      <c r="N22" s="100" t="s">
        <v>23</v>
      </c>
      <c r="O22" s="101" t="s">
        <v>23</v>
      </c>
      <c r="P22" s="102" t="s">
        <v>23</v>
      </c>
    </row>
    <row r="23" spans="2:18" ht="24" customHeight="1">
      <c r="B23" s="72" t="s">
        <v>24</v>
      </c>
      <c r="C23" s="73"/>
      <c r="D23" s="74">
        <v>1000</v>
      </c>
      <c r="E23" s="75"/>
      <c r="F23" s="75"/>
      <c r="G23" s="75"/>
      <c r="H23" s="76">
        <v>-1061645.4695227444</v>
      </c>
      <c r="I23" s="106"/>
      <c r="J23" s="89" t="s">
        <v>24</v>
      </c>
      <c r="K23" s="90"/>
      <c r="L23" s="91">
        <v>0</v>
      </c>
      <c r="M23" s="92"/>
      <c r="N23" s="92"/>
      <c r="O23" s="92"/>
      <c r="P23" s="93">
        <v>0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v>26252</v>
      </c>
      <c r="D29" s="177"/>
      <c r="E29" s="178">
        <v>1061.6454695227444</v>
      </c>
      <c r="F29" s="178"/>
      <c r="G29" s="177">
        <v>27870316.865911085</v>
      </c>
      <c r="H29" s="179"/>
      <c r="I29" s="17"/>
      <c r="J29" s="49" t="s">
        <v>9</v>
      </c>
      <c r="K29" s="180"/>
      <c r="L29" s="181"/>
      <c r="M29" s="182"/>
      <c r="N29" s="183"/>
      <c r="O29" s="177">
        <v>0</v>
      </c>
      <c r="P29" s="179"/>
      <c r="R29" s="18"/>
    </row>
    <row r="30" spans="2:18" ht="22.5" customHeight="1">
      <c r="B30" s="50" t="s">
        <v>11</v>
      </c>
      <c r="C30" s="184">
        <v>74710</v>
      </c>
      <c r="D30" s="174"/>
      <c r="E30" s="185">
        <v>1506.3923785901768</v>
      </c>
      <c r="F30" s="185"/>
      <c r="G30" s="174">
        <v>112542574.60447212</v>
      </c>
      <c r="H30" s="175"/>
      <c r="I30" s="17"/>
      <c r="J30" s="50" t="s">
        <v>11</v>
      </c>
      <c r="K30" s="186"/>
      <c r="L30" s="187"/>
      <c r="M30" s="188"/>
      <c r="N30" s="189"/>
      <c r="O30" s="174"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v>26252</v>
      </c>
      <c r="D36" s="177"/>
      <c r="E36" s="177">
        <v>27870316.865911085</v>
      </c>
      <c r="F36" s="177"/>
      <c r="G36" s="178">
        <v>1061.6454695227444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v>74710</v>
      </c>
      <c r="D37" s="174"/>
      <c r="E37" s="174">
        <v>112542574.60447212</v>
      </c>
      <c r="F37" s="174"/>
      <c r="G37" s="185">
        <v>1506.3923785901768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S42" s="2" t="s">
        <v>10</v>
      </c>
    </row>
    <row r="43" spans="2:25" ht="24" customHeight="1">
      <c r="B43" s="61" t="s">
        <v>40</v>
      </c>
      <c r="C43" s="227">
        <v>27252</v>
      </c>
      <c r="D43" s="228"/>
      <c r="E43" s="62"/>
      <c r="F43" s="229">
        <v>0</v>
      </c>
      <c r="G43" s="230"/>
      <c r="H43" s="230">
        <v>1000</v>
      </c>
      <c r="I43" s="230"/>
      <c r="J43" s="230"/>
      <c r="K43" s="231">
        <v>26252</v>
      </c>
      <c r="L43" s="231"/>
      <c r="M43" s="63">
        <v>0.13125999999999999</v>
      </c>
      <c r="N43" s="64">
        <v>1061.6454695227444</v>
      </c>
      <c r="O43" s="103"/>
      <c r="P43" s="23"/>
      <c r="Q43" s="18"/>
    </row>
    <row r="44" spans="2:25" ht="24.75" customHeight="1">
      <c r="B44" s="65" t="s">
        <v>41</v>
      </c>
      <c r="C44" s="232">
        <v>74710</v>
      </c>
      <c r="D44" s="233"/>
      <c r="E44" s="66"/>
      <c r="F44" s="234">
        <v>0</v>
      </c>
      <c r="G44" s="235"/>
      <c r="H44" s="235">
        <v>0</v>
      </c>
      <c r="I44" s="235"/>
      <c r="J44" s="235"/>
      <c r="K44" s="236">
        <v>74710</v>
      </c>
      <c r="L44" s="236"/>
      <c r="M44" s="67">
        <v>0.186775</v>
      </c>
      <c r="N44" s="68">
        <v>1506.3923785901768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Y124"/>
  <sheetViews>
    <sheetView showGridLines="0" topLeftCell="A18" zoomScaleNormal="100" workbookViewId="0">
      <selection activeCell="L18" sqref="L18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SUM('1202'!$K$43:$L$43)</f>
        <v>26252</v>
      </c>
      <c r="F9" s="42">
        <f>SUM(E9)/D9</f>
        <v>0.13125999999999999</v>
      </c>
      <c r="G9" s="10">
        <f>SUM('1202'!$N$43)</f>
        <v>1061.6454695227444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400000</v>
      </c>
      <c r="E10" s="12">
        <f>SUM('1202'!$K$44:$L$44)</f>
        <v>74710</v>
      </c>
      <c r="F10" s="44">
        <f>SUM(E10)/D10</f>
        <v>0.186775</v>
      </c>
      <c r="G10" s="13">
        <f>SUM('1202'!$N$44)</f>
        <v>1506.3923785901768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>
        <v>1000</v>
      </c>
      <c r="E16" s="37"/>
      <c r="F16" s="77">
        <f t="shared" ref="F16:F22" si="0">IF(D16="","",(SUM($G$9)))</f>
        <v>1061.6454695227444</v>
      </c>
      <c r="G16" s="78">
        <f t="shared" ref="G16:G22" si="1">IF(D16="","",(SUM(E16)-F16))</f>
        <v>-1061.6454695227444</v>
      </c>
      <c r="H16" s="79">
        <f t="shared" ref="H16:H22" si="2">IF(D16="","",(D16*G16))</f>
        <v>-1061645.4695227444</v>
      </c>
      <c r="I16" s="17"/>
      <c r="J16" s="159" t="s">
        <v>22</v>
      </c>
      <c r="K16" s="36"/>
      <c r="L16" s="37"/>
      <c r="M16" s="37"/>
      <c r="N16" s="94" t="str">
        <f t="shared" ref="N16:N22" si="3">IF(L16="","",($G$10))</f>
        <v/>
      </c>
      <c r="O16" s="95" t="str">
        <f t="shared" ref="O16:O22" si="4">IF(L16="","",(SUM(M16)-N16))</f>
        <v/>
      </c>
      <c r="P16" s="96" t="str">
        <f t="shared" ref="P16:P22" si="5">IF(L16="","",(L16*O16))</f>
        <v/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10"/>
      <c r="L18" s="16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110"/>
      <c r="L19" s="16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1000</v>
      </c>
      <c r="E23" s="75"/>
      <c r="F23" s="75"/>
      <c r="G23" s="75"/>
      <c r="H23" s="76">
        <f>SUM(H16:H22)</f>
        <v>-1061645.4695227444</v>
      </c>
      <c r="I23" s="106"/>
      <c r="J23" s="89" t="s">
        <v>24</v>
      </c>
      <c r="K23" s="90"/>
      <c r="L23" s="91">
        <f>SUM(L16:L22)</f>
        <v>0</v>
      </c>
      <c r="M23" s="92"/>
      <c r="N23" s="92"/>
      <c r="O23" s="92"/>
      <c r="P23" s="93">
        <f>SUM(P16:P22)</f>
        <v>0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25252</v>
      </c>
      <c r="D29" s="177"/>
      <c r="E29" s="178">
        <f>$G$9</f>
        <v>1061.6454695227444</v>
      </c>
      <c r="F29" s="178"/>
      <c r="G29" s="177">
        <f>C29*E29</f>
        <v>26808671.396388341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74710</v>
      </c>
      <c r="D30" s="174"/>
      <c r="E30" s="185">
        <f>$G$10</f>
        <v>1506.3923785901768</v>
      </c>
      <c r="F30" s="185"/>
      <c r="G30" s="174">
        <f>C30*E30</f>
        <v>112542574.60447212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25252</v>
      </c>
      <c r="D36" s="177"/>
      <c r="E36" s="177">
        <f>$G$29+$O$29</f>
        <v>26808671.396388341</v>
      </c>
      <c r="F36" s="177"/>
      <c r="G36" s="178">
        <f>E36/C36</f>
        <v>1061.6454695227444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74710</v>
      </c>
      <c r="D37" s="174"/>
      <c r="E37" s="174">
        <f>$G$30+$O$30</f>
        <v>112542574.60447212</v>
      </c>
      <c r="F37" s="174"/>
      <c r="G37" s="185">
        <f>E37/C37</f>
        <v>1506.3923785901768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S42" s="2" t="s">
        <v>10</v>
      </c>
    </row>
    <row r="43" spans="2:25" ht="24" customHeight="1">
      <c r="B43" s="61" t="s">
        <v>40</v>
      </c>
      <c r="C43" s="227">
        <f>SUM($E$9)</f>
        <v>26252</v>
      </c>
      <c r="D43" s="228"/>
      <c r="E43" s="62"/>
      <c r="F43" s="229">
        <f>$K$29</f>
        <v>0</v>
      </c>
      <c r="G43" s="230"/>
      <c r="H43" s="230">
        <f>$D$23</f>
        <v>1000</v>
      </c>
      <c r="I43" s="230"/>
      <c r="J43" s="230"/>
      <c r="K43" s="231">
        <f>$C$43-$H$43+$F$43+$O$43</f>
        <v>25252</v>
      </c>
      <c r="L43" s="231"/>
      <c r="M43" s="63">
        <f>SUM($K$43)/$D$9</f>
        <v>0.12626000000000001</v>
      </c>
      <c r="N43" s="64">
        <f>$G$36</f>
        <v>1061.6454695227444</v>
      </c>
      <c r="O43" s="103"/>
      <c r="P43" s="23"/>
      <c r="Q43" s="18"/>
    </row>
    <row r="44" spans="2:25" ht="24.75" customHeight="1">
      <c r="B44" s="65" t="s">
        <v>41</v>
      </c>
      <c r="C44" s="232">
        <f>SUM($E$10)</f>
        <v>74710</v>
      </c>
      <c r="D44" s="233"/>
      <c r="E44" s="66"/>
      <c r="F44" s="234">
        <f>$K$30</f>
        <v>0</v>
      </c>
      <c r="G44" s="235"/>
      <c r="H44" s="235">
        <f>$L$23</f>
        <v>0</v>
      </c>
      <c r="I44" s="235"/>
      <c r="J44" s="235"/>
      <c r="K44" s="236">
        <f>$C$44-$H$44+$F$44+$O$44</f>
        <v>74710</v>
      </c>
      <c r="L44" s="236"/>
      <c r="M44" s="67">
        <f>SUM($K$44)/D10</f>
        <v>0.186775</v>
      </c>
      <c r="N44" s="68">
        <f>$G$37</f>
        <v>1506.3923785901768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5:C46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Y124"/>
  <sheetViews>
    <sheetView showGridLines="0" topLeftCell="A11" zoomScaleNormal="100" workbookViewId="0">
      <selection activeCell="Y32" sqref="Y32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SUM('1204'!$K$43:$L$43)</f>
        <v>25252</v>
      </c>
      <c r="F9" s="42">
        <f>SUM(E9)/D9</f>
        <v>0.12626000000000001</v>
      </c>
      <c r="G9" s="10">
        <f>SUM('1204'!$N$43)</f>
        <v>1061.6454695227444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400000</v>
      </c>
      <c r="E10" s="12">
        <f>SUM('1204'!$K$44:$L$44)</f>
        <v>74710</v>
      </c>
      <c r="F10" s="44">
        <f>SUM(E10)/D10</f>
        <v>0.186775</v>
      </c>
      <c r="G10" s="13">
        <f>SUM('1204'!$N$44)</f>
        <v>1506.3923785901768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36"/>
      <c r="L16" s="37">
        <v>15000</v>
      </c>
      <c r="M16" s="37"/>
      <c r="N16" s="94">
        <f t="shared" ref="N16:N22" si="3">IF(L16="","",($G$10))</f>
        <v>1506.3923785901768</v>
      </c>
      <c r="O16" s="95">
        <f t="shared" ref="O16:O22" si="4">IF(L16="","",(SUM(M16)-N16))</f>
        <v>-1506.3923785901768</v>
      </c>
      <c r="P16" s="96">
        <f t="shared" ref="P16:P22" si="5">IF(L16="","",(L16*O16))</f>
        <v>-22595885.678852651</v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>
        <v>2930</v>
      </c>
      <c r="M17" s="16"/>
      <c r="N17" s="97">
        <f t="shared" si="3"/>
        <v>1506.3923785901768</v>
      </c>
      <c r="O17" s="98">
        <f t="shared" si="4"/>
        <v>-1506.3923785901768</v>
      </c>
      <c r="P17" s="99">
        <f t="shared" si="5"/>
        <v>-4413729.6692692181</v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10"/>
      <c r="L18" s="16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110"/>
      <c r="L19" s="16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17930</v>
      </c>
      <c r="M23" s="92"/>
      <c r="N23" s="92"/>
      <c r="O23" s="92"/>
      <c r="P23" s="93">
        <f>SUM(P16:P22)</f>
        <v>-27009615.34812187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25252</v>
      </c>
      <c r="D29" s="177"/>
      <c r="E29" s="178">
        <f>$G$9</f>
        <v>1061.6454695227444</v>
      </c>
      <c r="F29" s="178"/>
      <c r="G29" s="177">
        <f>C29*E29</f>
        <v>26808671.396388341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56780</v>
      </c>
      <c r="D30" s="174"/>
      <c r="E30" s="185">
        <f>$G$10</f>
        <v>1506.3923785901768</v>
      </c>
      <c r="F30" s="185"/>
      <c r="G30" s="174">
        <f>C30*E30</f>
        <v>85532959.256350234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25252</v>
      </c>
      <c r="D36" s="177"/>
      <c r="E36" s="177">
        <f>$G$29+$O$29</f>
        <v>26808671.396388341</v>
      </c>
      <c r="F36" s="177"/>
      <c r="G36" s="178">
        <f>E36/C36</f>
        <v>1061.6454695227444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56780</v>
      </c>
      <c r="D37" s="174"/>
      <c r="E37" s="174">
        <f>$G$30+$O$30</f>
        <v>85532959.256350234</v>
      </c>
      <c r="F37" s="174"/>
      <c r="G37" s="185">
        <f>E37/C37</f>
        <v>1506.3923785901768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S42" s="2" t="s">
        <v>10</v>
      </c>
    </row>
    <row r="43" spans="2:25" ht="24" customHeight="1">
      <c r="B43" s="61" t="s">
        <v>40</v>
      </c>
      <c r="C43" s="227">
        <f>SUM($E$9)</f>
        <v>25252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25252</v>
      </c>
      <c r="L43" s="231"/>
      <c r="M43" s="63">
        <f>SUM($K$43)/$D$9</f>
        <v>0.12626000000000001</v>
      </c>
      <c r="N43" s="64">
        <f>$G$36</f>
        <v>1061.6454695227444</v>
      </c>
      <c r="O43" s="103"/>
      <c r="P43" s="23"/>
      <c r="Q43" s="18"/>
    </row>
    <row r="44" spans="2:25" ht="24.75" customHeight="1">
      <c r="B44" s="65" t="s">
        <v>41</v>
      </c>
      <c r="C44" s="232">
        <f>SUM($E$10)</f>
        <v>74710</v>
      </c>
      <c r="D44" s="233"/>
      <c r="E44" s="66"/>
      <c r="F44" s="234">
        <f>$K$30</f>
        <v>0</v>
      </c>
      <c r="G44" s="235"/>
      <c r="H44" s="235">
        <f>$L$23</f>
        <v>17930</v>
      </c>
      <c r="I44" s="235"/>
      <c r="J44" s="235"/>
      <c r="K44" s="236">
        <f>$C$44-$H$44+$F$44+$O$44</f>
        <v>56780</v>
      </c>
      <c r="L44" s="236"/>
      <c r="M44" s="67">
        <f>SUM($K$44)/D10</f>
        <v>0.14194999999999999</v>
      </c>
      <c r="N44" s="68">
        <f>$G$37</f>
        <v>1506.3923785901768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5:C46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Y124"/>
  <sheetViews>
    <sheetView showGridLines="0" topLeftCell="A27" zoomScaleNormal="100" workbookViewId="0">
      <selection activeCell="K46" sqref="K46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SUM('1205'!$K$43:$L$43)</f>
        <v>25252</v>
      </c>
      <c r="F9" s="42">
        <f>SUM(E9)/D9</f>
        <v>0.12626000000000001</v>
      </c>
      <c r="G9" s="10">
        <f>SUM('1205'!$N$43)</f>
        <v>1061.6454695227444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400000</v>
      </c>
      <c r="E10" s="12">
        <f>SUM('1205'!$K$44:$L$44)</f>
        <v>56780</v>
      </c>
      <c r="F10" s="44">
        <f>SUM(E10)/D10</f>
        <v>0.14194999999999999</v>
      </c>
      <c r="G10" s="13">
        <f>SUM('1205'!$N$44)</f>
        <v>1506.3923785901768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36"/>
      <c r="L16" s="37">
        <v>2840</v>
      </c>
      <c r="M16" s="37"/>
      <c r="N16" s="94">
        <f t="shared" ref="N16:N22" si="3">IF(L16="","",($G$10))</f>
        <v>1506.3923785901768</v>
      </c>
      <c r="O16" s="95">
        <f t="shared" ref="O16:O22" si="4">IF(L16="","",(SUM(M16)-N16))</f>
        <v>-1506.3923785901768</v>
      </c>
      <c r="P16" s="96">
        <f t="shared" ref="P16:P22" si="5">IF(L16="","",(L16*O16))</f>
        <v>-4278154.3551961025</v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10"/>
      <c r="L18" s="16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110"/>
      <c r="L19" s="16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2840</v>
      </c>
      <c r="M23" s="92"/>
      <c r="N23" s="92"/>
      <c r="O23" s="92"/>
      <c r="P23" s="93">
        <f>SUM(P16:P22)</f>
        <v>-4278154.3551961025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25252</v>
      </c>
      <c r="D29" s="177"/>
      <c r="E29" s="178">
        <f>$G$9</f>
        <v>1061.6454695227444</v>
      </c>
      <c r="F29" s="178"/>
      <c r="G29" s="177">
        <f>C29*E29</f>
        <v>26808671.396388341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53940</v>
      </c>
      <c r="D30" s="174"/>
      <c r="E30" s="185">
        <f>$G$10</f>
        <v>1506.3923785901768</v>
      </c>
      <c r="F30" s="185"/>
      <c r="G30" s="174">
        <f>C30*E30</f>
        <v>81254804.901154131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25252</v>
      </c>
      <c r="D36" s="177"/>
      <c r="E36" s="177">
        <f>$G$29+$O$29</f>
        <v>26808671.396388341</v>
      </c>
      <c r="F36" s="177"/>
      <c r="G36" s="178">
        <f>E36/C36</f>
        <v>1061.6454695227444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53940</v>
      </c>
      <c r="D37" s="174"/>
      <c r="E37" s="174">
        <f>$G$30+$O$30</f>
        <v>81254804.901154131</v>
      </c>
      <c r="F37" s="174"/>
      <c r="G37" s="185">
        <f>E37/C37</f>
        <v>1506.3923785901768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S42" s="2" t="s">
        <v>10</v>
      </c>
    </row>
    <row r="43" spans="2:25" ht="24" customHeight="1">
      <c r="B43" s="61" t="s">
        <v>40</v>
      </c>
      <c r="C43" s="227">
        <f>SUM($E$9)</f>
        <v>25252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25252</v>
      </c>
      <c r="L43" s="231"/>
      <c r="M43" s="63">
        <f>SUM($K$43)/$D$9</f>
        <v>0.12626000000000001</v>
      </c>
      <c r="N43" s="64">
        <f>$G$36</f>
        <v>1061.6454695227444</v>
      </c>
      <c r="O43" s="103"/>
      <c r="P43" s="23"/>
      <c r="Q43" s="18"/>
    </row>
    <row r="44" spans="2:25" ht="24.75" customHeight="1">
      <c r="B44" s="65" t="s">
        <v>41</v>
      </c>
      <c r="C44" s="232">
        <f>SUM($E$10)</f>
        <v>56780</v>
      </c>
      <c r="D44" s="233"/>
      <c r="E44" s="66"/>
      <c r="F44" s="234">
        <f>$K$30</f>
        <v>0</v>
      </c>
      <c r="G44" s="235"/>
      <c r="H44" s="235">
        <f>$L$23</f>
        <v>2840</v>
      </c>
      <c r="I44" s="235"/>
      <c r="J44" s="235"/>
      <c r="K44" s="236">
        <f>$C$44-$H$44+$F$44+$O$44</f>
        <v>53940</v>
      </c>
      <c r="L44" s="236"/>
      <c r="M44" s="67">
        <f>SUM($K$44)/D10</f>
        <v>0.13485</v>
      </c>
      <c r="N44" s="68">
        <f>$G$37</f>
        <v>1506.3923785901768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Y124"/>
  <sheetViews>
    <sheetView showGridLines="0" topLeftCell="A28" zoomScaleNormal="100" workbookViewId="0">
      <selection activeCell="R22" sqref="R22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SUM('1208'!$K$43:$L$43)</f>
        <v>25252</v>
      </c>
      <c r="F9" s="42">
        <f>SUM(E9)/D9</f>
        <v>0.12626000000000001</v>
      </c>
      <c r="G9" s="10">
        <f>SUM('1208'!$N$43)</f>
        <v>1061.6454695227444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400000</v>
      </c>
      <c r="E10" s="12">
        <f>SUM('1208'!$K$44:$L$44)</f>
        <v>53940</v>
      </c>
      <c r="F10" s="44">
        <f>SUM(E10)/D10</f>
        <v>0.13485</v>
      </c>
      <c r="G10" s="13">
        <f>SUM('1208'!$N$44)</f>
        <v>1506.3923785901768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36"/>
      <c r="L16" s="37">
        <v>8000</v>
      </c>
      <c r="M16" s="37"/>
      <c r="N16" s="94">
        <f t="shared" ref="N16:N22" si="3">IF(L16="","",($G$10))</f>
        <v>1506.3923785901768</v>
      </c>
      <c r="O16" s="95">
        <f t="shared" ref="O16:O22" si="4">IF(L16="","",(SUM(M16)-N16))</f>
        <v>-1506.3923785901768</v>
      </c>
      <c r="P16" s="96">
        <f t="shared" ref="P16:P22" si="5">IF(L16="","",(L16*O16))</f>
        <v>-12051139.028721415</v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10"/>
      <c r="L18" s="16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110"/>
      <c r="L19" s="16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8000</v>
      </c>
      <c r="M23" s="92"/>
      <c r="N23" s="92"/>
      <c r="O23" s="92"/>
      <c r="P23" s="93">
        <f>SUM(P16:P22)</f>
        <v>-12051139.028721415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25252</v>
      </c>
      <c r="D29" s="177"/>
      <c r="E29" s="178">
        <f>$G$9</f>
        <v>1061.6454695227444</v>
      </c>
      <c r="F29" s="178"/>
      <c r="G29" s="177">
        <f>C29*E29</f>
        <v>26808671.396388341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45940</v>
      </c>
      <c r="D30" s="174"/>
      <c r="E30" s="185">
        <f>$G$10</f>
        <v>1506.3923785901768</v>
      </c>
      <c r="F30" s="185"/>
      <c r="G30" s="174">
        <f>C30*E30</f>
        <v>69203665.872432724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25252</v>
      </c>
      <c r="D36" s="177"/>
      <c r="E36" s="177">
        <f>$G$29+$O$29</f>
        <v>26808671.396388341</v>
      </c>
      <c r="F36" s="177"/>
      <c r="G36" s="178">
        <f>E36/C36</f>
        <v>1061.6454695227444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45940</v>
      </c>
      <c r="D37" s="174"/>
      <c r="E37" s="174">
        <f>$G$30+$O$30</f>
        <v>69203665.872432724</v>
      </c>
      <c r="F37" s="174"/>
      <c r="G37" s="185">
        <f>E37/C37</f>
        <v>1506.3923785901768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S42" s="2" t="s">
        <v>10</v>
      </c>
    </row>
    <row r="43" spans="2:25" ht="24" customHeight="1">
      <c r="B43" s="61" t="s">
        <v>40</v>
      </c>
      <c r="C43" s="227">
        <f>SUM($E$9)</f>
        <v>25252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25252</v>
      </c>
      <c r="L43" s="231"/>
      <c r="M43" s="63">
        <f>SUM($K$43)/$D$9</f>
        <v>0.12626000000000001</v>
      </c>
      <c r="N43" s="64">
        <f>$G$36</f>
        <v>1061.6454695227444</v>
      </c>
      <c r="O43" s="103"/>
      <c r="P43" s="23"/>
      <c r="Q43" s="18"/>
    </row>
    <row r="44" spans="2:25" ht="24.75" customHeight="1">
      <c r="B44" s="65" t="s">
        <v>41</v>
      </c>
      <c r="C44" s="232">
        <f>SUM($E$10)</f>
        <v>53940</v>
      </c>
      <c r="D44" s="233"/>
      <c r="E44" s="66"/>
      <c r="F44" s="234">
        <f>$K$30</f>
        <v>0</v>
      </c>
      <c r="G44" s="235"/>
      <c r="H44" s="235">
        <f>$L$23</f>
        <v>8000</v>
      </c>
      <c r="I44" s="235"/>
      <c r="J44" s="235"/>
      <c r="K44" s="236">
        <f>$C$44-$H$44+$F$44+$O$44</f>
        <v>45940</v>
      </c>
      <c r="L44" s="236"/>
      <c r="M44" s="67">
        <f>SUM($K$44)/D10</f>
        <v>0.11484999999999999</v>
      </c>
      <c r="N44" s="68">
        <f>$G$37</f>
        <v>1506.3923785901768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B1:Y124"/>
  <sheetViews>
    <sheetView showGridLines="0" topLeftCell="A22" zoomScaleNormal="100" workbookViewId="0">
      <selection activeCell="N32" sqref="N32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SUM('1209'!$K$43:$L$43)</f>
        <v>25252</v>
      </c>
      <c r="F9" s="42">
        <f>SUM(E9)/D9</f>
        <v>0.12626000000000001</v>
      </c>
      <c r="G9" s="10">
        <f>SUM('1209'!$N$43)</f>
        <v>1061.6454695227444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400000</v>
      </c>
      <c r="E10" s="12">
        <f>SUM('1209'!$K$44:$L$44)</f>
        <v>45940</v>
      </c>
      <c r="F10" s="44">
        <f>SUM(E10)/D10</f>
        <v>0.11484999999999999</v>
      </c>
      <c r="G10" s="13">
        <f>SUM('1209'!$N$44)</f>
        <v>1506.3923785901768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36"/>
      <c r="L16" s="37"/>
      <c r="M16" s="37"/>
      <c r="N16" s="94" t="str">
        <f t="shared" ref="N16:N22" si="3">IF(L16="","",($G$10))</f>
        <v/>
      </c>
      <c r="O16" s="95" t="str">
        <f t="shared" ref="O16:O22" si="4">IF(L16="","",(SUM(M16)-N16))</f>
        <v/>
      </c>
      <c r="P16" s="96" t="str">
        <f t="shared" ref="P16:P22" si="5">IF(L16="","",(L16*O16))</f>
        <v/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10"/>
      <c r="L18" s="16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110"/>
      <c r="L19" s="16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0</v>
      </c>
      <c r="M23" s="92"/>
      <c r="N23" s="92"/>
      <c r="O23" s="92"/>
      <c r="P23" s="93">
        <f>SUM(P16:P22)</f>
        <v>0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25252</v>
      </c>
      <c r="D29" s="177"/>
      <c r="E29" s="178">
        <f>$G$9</f>
        <v>1061.6454695227444</v>
      </c>
      <c r="F29" s="178"/>
      <c r="G29" s="177">
        <f>C29*E29</f>
        <v>26808671.396388341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45940</v>
      </c>
      <c r="D30" s="174"/>
      <c r="E30" s="185">
        <f>$G$10</f>
        <v>1506.3923785901768</v>
      </c>
      <c r="F30" s="185"/>
      <c r="G30" s="174">
        <f>C30*E30</f>
        <v>69203665.872432724</v>
      </c>
      <c r="H30" s="175"/>
      <c r="I30" s="17"/>
      <c r="J30" s="50" t="s">
        <v>11</v>
      </c>
      <c r="K30" s="186">
        <v>64000</v>
      </c>
      <c r="L30" s="187"/>
      <c r="M30" s="188">
        <v>1468.1</v>
      </c>
      <c r="N30" s="189"/>
      <c r="O30" s="174">
        <f>K30*M30</f>
        <v>93958400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25252</v>
      </c>
      <c r="D36" s="177"/>
      <c r="E36" s="177">
        <f>$G$29+$O$29</f>
        <v>26808671.396388341</v>
      </c>
      <c r="F36" s="177"/>
      <c r="G36" s="178">
        <f>E36/C36</f>
        <v>1061.6454695227444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109940</v>
      </c>
      <c r="D37" s="174"/>
      <c r="E37" s="174">
        <f>$G$30+$O$30</f>
        <v>163162065.87243271</v>
      </c>
      <c r="F37" s="174"/>
      <c r="G37" s="185">
        <f>E37/C37</f>
        <v>1484.1010175771576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S42" s="2" t="s">
        <v>10</v>
      </c>
    </row>
    <row r="43" spans="2:25" ht="24" customHeight="1">
      <c r="B43" s="61" t="s">
        <v>40</v>
      </c>
      <c r="C43" s="227">
        <f>SUM($E$9)</f>
        <v>25252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25252</v>
      </c>
      <c r="L43" s="231"/>
      <c r="M43" s="63">
        <f>SUM($K$43)/$D$9</f>
        <v>0.12626000000000001</v>
      </c>
      <c r="N43" s="64">
        <f>$G$36</f>
        <v>1061.6454695227444</v>
      </c>
      <c r="O43" s="103"/>
      <c r="P43" s="23"/>
      <c r="Q43" s="18"/>
    </row>
    <row r="44" spans="2:25" ht="24.75" customHeight="1">
      <c r="B44" s="65" t="s">
        <v>41</v>
      </c>
      <c r="C44" s="232">
        <f>SUM($E$10)</f>
        <v>45940</v>
      </c>
      <c r="D44" s="233"/>
      <c r="E44" s="66"/>
      <c r="F44" s="234">
        <f>$K$30</f>
        <v>64000</v>
      </c>
      <c r="G44" s="235"/>
      <c r="H44" s="235">
        <f>$L$23</f>
        <v>0</v>
      </c>
      <c r="I44" s="235"/>
      <c r="J44" s="235"/>
      <c r="K44" s="236">
        <f>$C$44-$H$44+$F$44+$O$44</f>
        <v>109940</v>
      </c>
      <c r="L44" s="236"/>
      <c r="M44" s="67">
        <f>SUM($K$44)/D10</f>
        <v>0.27484999999999998</v>
      </c>
      <c r="N44" s="68">
        <f>$G$37</f>
        <v>1484.1010175771576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5:C46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  <pageSetUpPr fitToPage="1"/>
  </sheetPr>
  <dimension ref="B1:Y124"/>
  <sheetViews>
    <sheetView showGridLines="0" topLeftCell="A22" zoomScaleNormal="100" workbookViewId="0">
      <selection activeCell="M33" sqref="M33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SUM('1210'!$K$43:$L$43)</f>
        <v>25252</v>
      </c>
      <c r="F9" s="42">
        <f>SUM(E9)/D9</f>
        <v>0.12626000000000001</v>
      </c>
      <c r="G9" s="10">
        <f>SUM('1210'!$N$43)</f>
        <v>1061.6454695227444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400000</v>
      </c>
      <c r="E10" s="12">
        <f>SUM('1210'!$K$44:$L$44)</f>
        <v>109940</v>
      </c>
      <c r="F10" s="44">
        <f>SUM(E10)/D10</f>
        <v>0.27484999999999998</v>
      </c>
      <c r="G10" s="13">
        <f>SUM('1210'!$N$44)</f>
        <v>1484.1010175771576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36"/>
      <c r="L16" s="37"/>
      <c r="M16" s="37"/>
      <c r="N16" s="94" t="str">
        <f t="shared" ref="N16:N22" si="3">IF(L16="","",($G$10))</f>
        <v/>
      </c>
      <c r="O16" s="95" t="str">
        <f t="shared" ref="O16:O22" si="4">IF(L16="","",(SUM(M16)-N16))</f>
        <v/>
      </c>
      <c r="P16" s="96" t="str">
        <f t="shared" ref="P16:P22" si="5">IF(L16="","",(L16*O16))</f>
        <v/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10"/>
      <c r="L18" s="16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110"/>
      <c r="L19" s="16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0</v>
      </c>
      <c r="M23" s="92"/>
      <c r="N23" s="92"/>
      <c r="O23" s="92"/>
      <c r="P23" s="93">
        <f>SUM(P16:P22)</f>
        <v>0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25252</v>
      </c>
      <c r="D29" s="177"/>
      <c r="E29" s="178">
        <f>$G$9</f>
        <v>1061.6454695227444</v>
      </c>
      <c r="F29" s="178"/>
      <c r="G29" s="177">
        <f>C29*E29</f>
        <v>26808671.396388341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109940</v>
      </c>
      <c r="D30" s="174"/>
      <c r="E30" s="185">
        <f>$G$10</f>
        <v>1484.1010175771576</v>
      </c>
      <c r="F30" s="185"/>
      <c r="G30" s="174">
        <f>C30*E30</f>
        <v>163162065.87243271</v>
      </c>
      <c r="H30" s="175"/>
      <c r="I30" s="17"/>
      <c r="J30" s="50" t="s">
        <v>11</v>
      </c>
      <c r="K30" s="186">
        <v>32000</v>
      </c>
      <c r="L30" s="187"/>
      <c r="M30" s="188">
        <v>1453.1</v>
      </c>
      <c r="N30" s="189"/>
      <c r="O30" s="174">
        <f>K30*M30</f>
        <v>46499200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25252</v>
      </c>
      <c r="D36" s="177"/>
      <c r="E36" s="177">
        <f>$G$29+$O$29</f>
        <v>26808671.396388341</v>
      </c>
      <c r="F36" s="177"/>
      <c r="G36" s="178">
        <f>E36/C36</f>
        <v>1061.6454695227444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141940</v>
      </c>
      <c r="D37" s="174"/>
      <c r="E37" s="174">
        <f>$G$30+$O$30</f>
        <v>209661265.87243271</v>
      </c>
      <c r="F37" s="174"/>
      <c r="G37" s="185">
        <f>E37/C37</f>
        <v>1477.1119196310603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S42" s="2" t="s">
        <v>10</v>
      </c>
    </row>
    <row r="43" spans="2:25" ht="24" customHeight="1">
      <c r="B43" s="61" t="s">
        <v>40</v>
      </c>
      <c r="C43" s="227">
        <f>SUM($E$9)</f>
        <v>25252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25252</v>
      </c>
      <c r="L43" s="231"/>
      <c r="M43" s="63">
        <f>SUM($K$43)/$D$9</f>
        <v>0.12626000000000001</v>
      </c>
      <c r="N43" s="64">
        <f>$G$36</f>
        <v>1061.6454695227444</v>
      </c>
      <c r="O43" s="103"/>
      <c r="P43" s="23"/>
      <c r="Q43" s="18"/>
    </row>
    <row r="44" spans="2:25" ht="24.75" customHeight="1">
      <c r="B44" s="65" t="s">
        <v>41</v>
      </c>
      <c r="C44" s="232">
        <f>SUM($E$10)</f>
        <v>109940</v>
      </c>
      <c r="D44" s="233"/>
      <c r="E44" s="66"/>
      <c r="F44" s="234">
        <f>$K$30</f>
        <v>32000</v>
      </c>
      <c r="G44" s="235"/>
      <c r="H44" s="235">
        <f>$L$23</f>
        <v>0</v>
      </c>
      <c r="I44" s="235"/>
      <c r="J44" s="235"/>
      <c r="K44" s="236">
        <f>$C$44-$H$44+$F$44+$O$44</f>
        <v>141940</v>
      </c>
      <c r="L44" s="236"/>
      <c r="M44" s="67">
        <f>SUM($K$44)/D10</f>
        <v>0.35485</v>
      </c>
      <c r="N44" s="68">
        <f>$G$37</f>
        <v>1477.1119196310603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5:C46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  <pageSetUpPr fitToPage="1"/>
  </sheetPr>
  <dimension ref="B1:Y124"/>
  <sheetViews>
    <sheetView showGridLines="0" topLeftCell="A19" zoomScaleNormal="100" workbookViewId="0">
      <selection activeCell="N33" sqref="N33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SUM('1211'!$K$43:$L$43)</f>
        <v>25252</v>
      </c>
      <c r="F9" s="42">
        <f>SUM(E9)/D9</f>
        <v>0.12626000000000001</v>
      </c>
      <c r="G9" s="10">
        <f>SUM('1211'!$N$43)</f>
        <v>1061.6454695227444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400000</v>
      </c>
      <c r="E10" s="12">
        <f>SUM('1211'!$K$44:$L$44)</f>
        <v>141940</v>
      </c>
      <c r="F10" s="44">
        <f>SUM(E10)/D10</f>
        <v>0.35485</v>
      </c>
      <c r="G10" s="13">
        <f>SUM('1211'!$N$44)</f>
        <v>1477.1119196310603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36"/>
      <c r="L16" s="37"/>
      <c r="M16" s="37"/>
      <c r="N16" s="94" t="str">
        <f t="shared" ref="N16:N22" si="3">IF(L16="","",($G$10))</f>
        <v/>
      </c>
      <c r="O16" s="95" t="str">
        <f t="shared" ref="O16:O22" si="4">IF(L16="","",(SUM(M16)-N16))</f>
        <v/>
      </c>
      <c r="P16" s="96" t="str">
        <f t="shared" ref="P16:P22" si="5">IF(L16="","",(L16*O16))</f>
        <v/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10"/>
      <c r="L18" s="16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110"/>
      <c r="L19" s="16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0</v>
      </c>
      <c r="M23" s="92"/>
      <c r="N23" s="92"/>
      <c r="O23" s="92"/>
      <c r="P23" s="93">
        <f>SUM(P16:P22)</f>
        <v>0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25252</v>
      </c>
      <c r="D29" s="177"/>
      <c r="E29" s="178">
        <f>$G$9</f>
        <v>1061.6454695227444</v>
      </c>
      <c r="F29" s="178"/>
      <c r="G29" s="177">
        <f>C29*E29</f>
        <v>26808671.396388341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141940</v>
      </c>
      <c r="D30" s="174"/>
      <c r="E30" s="185">
        <f>$G$10</f>
        <v>1477.1119196310603</v>
      </c>
      <c r="F30" s="185"/>
      <c r="G30" s="174">
        <f>C30*E30</f>
        <v>209661265.87243271</v>
      </c>
      <c r="H30" s="175"/>
      <c r="I30" s="17"/>
      <c r="J30" s="50" t="s">
        <v>11</v>
      </c>
      <c r="K30" s="186">
        <v>32000</v>
      </c>
      <c r="L30" s="187"/>
      <c r="M30" s="188">
        <v>1453.1</v>
      </c>
      <c r="N30" s="189"/>
      <c r="O30" s="174">
        <f>K30*M30</f>
        <v>46499200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25252</v>
      </c>
      <c r="D36" s="177"/>
      <c r="E36" s="177">
        <f>$G$29+$O$29</f>
        <v>26808671.396388341</v>
      </c>
      <c r="F36" s="177"/>
      <c r="G36" s="178">
        <f>E36/C36</f>
        <v>1061.6454695227444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173940</v>
      </c>
      <c r="D37" s="174"/>
      <c r="E37" s="174">
        <f>$G$30+$O$30</f>
        <v>256160465.87243271</v>
      </c>
      <c r="F37" s="174"/>
      <c r="G37" s="185">
        <f>E37/C37</f>
        <v>1472.6944111327625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S42" s="2" t="s">
        <v>10</v>
      </c>
    </row>
    <row r="43" spans="2:25" ht="24" customHeight="1">
      <c r="B43" s="61" t="s">
        <v>40</v>
      </c>
      <c r="C43" s="227">
        <f>SUM($E$9)</f>
        <v>25252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25252</v>
      </c>
      <c r="L43" s="231"/>
      <c r="M43" s="63">
        <f>SUM($K$43)/$D$9</f>
        <v>0.12626000000000001</v>
      </c>
      <c r="N43" s="64">
        <f>$G$36</f>
        <v>1061.6454695227444</v>
      </c>
      <c r="O43" s="103"/>
      <c r="P43" s="23"/>
      <c r="Q43" s="18"/>
    </row>
    <row r="44" spans="2:25" ht="24.75" customHeight="1">
      <c r="B44" s="65" t="s">
        <v>41</v>
      </c>
      <c r="C44" s="232">
        <f>SUM($E$10)</f>
        <v>141940</v>
      </c>
      <c r="D44" s="233"/>
      <c r="E44" s="66"/>
      <c r="F44" s="234">
        <f>$K$30</f>
        <v>32000</v>
      </c>
      <c r="G44" s="235"/>
      <c r="H44" s="235">
        <f>$L$23</f>
        <v>0</v>
      </c>
      <c r="I44" s="235"/>
      <c r="J44" s="235"/>
      <c r="K44" s="236">
        <f>$C$44-$H$44+$F$44+$O$44</f>
        <v>173940</v>
      </c>
      <c r="L44" s="236"/>
      <c r="M44" s="67">
        <f>SUM($K$44)/D10</f>
        <v>0.43485000000000001</v>
      </c>
      <c r="N44" s="68">
        <f>$G$37</f>
        <v>1472.6944111327625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Y124"/>
  <sheetViews>
    <sheetView showGridLines="0" topLeftCell="A24" zoomScaleNormal="100" workbookViewId="0">
      <selection activeCell="O35" sqref="O35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SUM('1212'!$K$43:$L$43)</f>
        <v>25252</v>
      </c>
      <c r="F9" s="42">
        <f>SUM(E9)/D9</f>
        <v>0.12626000000000001</v>
      </c>
      <c r="G9" s="10">
        <f>SUM('1212'!$N$43)</f>
        <v>1061.6454695227444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400000</v>
      </c>
      <c r="E10" s="12">
        <f>SUM('1212'!$K$44:$L$44)</f>
        <v>173940</v>
      </c>
      <c r="F10" s="44">
        <f>SUM(E10)/D10</f>
        <v>0.43485000000000001</v>
      </c>
      <c r="G10" s="13">
        <f>SUM('1212'!$N$44)</f>
        <v>1472.6944111327625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36"/>
      <c r="L16" s="37">
        <v>2850</v>
      </c>
      <c r="M16" s="37"/>
      <c r="N16" s="94">
        <f t="shared" ref="N16:N22" si="3">IF(L16="","",($G$10))</f>
        <v>1472.6944111327625</v>
      </c>
      <c r="O16" s="95">
        <f t="shared" ref="O16:O22" si="4">IF(L16="","",(SUM(M16)-N16))</f>
        <v>-1472.6944111327625</v>
      </c>
      <c r="P16" s="96">
        <f t="shared" ref="P16:P22" si="5">IF(L16="","",(L16*O16))</f>
        <v>-4197179.0717283729</v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10"/>
      <c r="L18" s="16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110"/>
      <c r="L19" s="16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2850</v>
      </c>
      <c r="M23" s="92"/>
      <c r="N23" s="92"/>
      <c r="O23" s="92"/>
      <c r="P23" s="93">
        <f>SUM(P16:P22)</f>
        <v>-4197179.0717283729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25252</v>
      </c>
      <c r="D29" s="177"/>
      <c r="E29" s="178">
        <f>$G$9</f>
        <v>1061.6454695227444</v>
      </c>
      <c r="F29" s="178"/>
      <c r="G29" s="177">
        <f>C29*E29</f>
        <v>26808671.396388341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171090</v>
      </c>
      <c r="D30" s="174"/>
      <c r="E30" s="185">
        <f>$G$10</f>
        <v>1472.6944111327625</v>
      </c>
      <c r="F30" s="185"/>
      <c r="G30" s="174">
        <f>C30*E30</f>
        <v>251963286.80070433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25252</v>
      </c>
      <c r="D36" s="177"/>
      <c r="E36" s="177">
        <f>$G$29+$O$29</f>
        <v>26808671.396388341</v>
      </c>
      <c r="F36" s="177"/>
      <c r="G36" s="178">
        <f>E36/C36</f>
        <v>1061.6454695227444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171090</v>
      </c>
      <c r="D37" s="174"/>
      <c r="E37" s="174">
        <f>$G$30+$O$30</f>
        <v>251963286.80070433</v>
      </c>
      <c r="F37" s="174"/>
      <c r="G37" s="185">
        <f>E37/C37</f>
        <v>1472.6944111327625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S42" s="2" t="s">
        <v>10</v>
      </c>
    </row>
    <row r="43" spans="2:25" ht="24" customHeight="1">
      <c r="B43" s="61" t="s">
        <v>40</v>
      </c>
      <c r="C43" s="227">
        <f>SUM($E$9)</f>
        <v>25252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25252</v>
      </c>
      <c r="L43" s="231"/>
      <c r="M43" s="63">
        <f>SUM($K$43)/$D$9</f>
        <v>0.12626000000000001</v>
      </c>
      <c r="N43" s="64">
        <f>$G$36</f>
        <v>1061.6454695227444</v>
      </c>
      <c r="O43" s="103"/>
      <c r="P43" s="23"/>
      <c r="Q43" s="18"/>
    </row>
    <row r="44" spans="2:25" ht="24.75" customHeight="1">
      <c r="B44" s="65" t="s">
        <v>41</v>
      </c>
      <c r="C44" s="232">
        <f>SUM($E$10)</f>
        <v>173940</v>
      </c>
      <c r="D44" s="233"/>
      <c r="E44" s="66"/>
      <c r="F44" s="234">
        <f>$K$30</f>
        <v>0</v>
      </c>
      <c r="G44" s="235"/>
      <c r="H44" s="235">
        <f>$L$23</f>
        <v>2850</v>
      </c>
      <c r="I44" s="235"/>
      <c r="J44" s="235"/>
      <c r="K44" s="236">
        <f>$C$44-$H$44+$F$44+$O$44</f>
        <v>171090</v>
      </c>
      <c r="L44" s="236"/>
      <c r="M44" s="67">
        <f>SUM($K$44)/D10</f>
        <v>0.42772500000000002</v>
      </c>
      <c r="N44" s="68">
        <f>$G$37</f>
        <v>1472.6944111327625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5:C46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Y124"/>
  <sheetViews>
    <sheetView showGridLines="0" topLeftCell="A30" zoomScaleNormal="100" workbookViewId="0">
      <selection activeCell="P51" sqref="P51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SUM('1216'!$K$43:$L$43)</f>
        <v>25252</v>
      </c>
      <c r="F9" s="42">
        <f>SUM(E9)/D9</f>
        <v>0.12626000000000001</v>
      </c>
      <c r="G9" s="10">
        <f>SUM('1216'!$N$43)</f>
        <v>1061.6454695227444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400000</v>
      </c>
      <c r="E10" s="12">
        <f>SUM('1216'!$K$44:$L$44)</f>
        <v>171090</v>
      </c>
      <c r="F10" s="44">
        <f>SUM(E10)/D10</f>
        <v>0.42772500000000002</v>
      </c>
      <c r="G10" s="13">
        <f>SUM('1216'!$N$44)</f>
        <v>1472.6944111327625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36"/>
      <c r="L16" s="37">
        <v>3000</v>
      </c>
      <c r="M16" s="37"/>
      <c r="N16" s="94">
        <f t="shared" ref="N16:N22" si="3">IF(L16="","",($G$10))</f>
        <v>1472.6944111327625</v>
      </c>
      <c r="O16" s="95">
        <f t="shared" ref="O16:O22" si="4">IF(L16="","",(SUM(M16)-N16))</f>
        <v>-1472.6944111327625</v>
      </c>
      <c r="P16" s="96">
        <f t="shared" ref="P16:P22" si="5">IF(L16="","",(L16*O16))</f>
        <v>-4418083.2333982876</v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10"/>
      <c r="L18" s="16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110"/>
      <c r="L19" s="16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3000</v>
      </c>
      <c r="M23" s="92"/>
      <c r="N23" s="92"/>
      <c r="O23" s="92"/>
      <c r="P23" s="93">
        <f>SUM(P16:P22)</f>
        <v>-4418083.2333982876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25252</v>
      </c>
      <c r="D29" s="177"/>
      <c r="E29" s="178">
        <f>$G$9</f>
        <v>1061.6454695227444</v>
      </c>
      <c r="F29" s="178"/>
      <c r="G29" s="177">
        <f>C29*E29</f>
        <v>26808671.396388341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168090</v>
      </c>
      <c r="D30" s="174"/>
      <c r="E30" s="185">
        <f>$G$10</f>
        <v>1472.6944111327625</v>
      </c>
      <c r="F30" s="185"/>
      <c r="G30" s="174">
        <f>C30*E30</f>
        <v>247545203.56730604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25252</v>
      </c>
      <c r="D36" s="177"/>
      <c r="E36" s="177">
        <f>$G$29+$O$29</f>
        <v>26808671.396388341</v>
      </c>
      <c r="F36" s="177"/>
      <c r="G36" s="178">
        <f>E36/C36</f>
        <v>1061.6454695227444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168090</v>
      </c>
      <c r="D37" s="174"/>
      <c r="E37" s="174">
        <f>$G$30+$O$30</f>
        <v>247545203.56730604</v>
      </c>
      <c r="F37" s="174"/>
      <c r="G37" s="185">
        <f>E37/C37</f>
        <v>1472.6944111327625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S42" s="2" t="s">
        <v>10</v>
      </c>
    </row>
    <row r="43" spans="2:25" ht="24" customHeight="1">
      <c r="B43" s="61" t="s">
        <v>40</v>
      </c>
      <c r="C43" s="227">
        <f>SUM($E$9)</f>
        <v>25252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25252</v>
      </c>
      <c r="L43" s="231"/>
      <c r="M43" s="63">
        <f>SUM($K$43)/$D$9</f>
        <v>0.12626000000000001</v>
      </c>
      <c r="N43" s="64">
        <f>$G$36</f>
        <v>1061.6454695227444</v>
      </c>
      <c r="O43" s="103"/>
      <c r="P43" s="23"/>
      <c r="Q43" s="18"/>
    </row>
    <row r="44" spans="2:25" ht="24.75" customHeight="1">
      <c r="B44" s="65" t="s">
        <v>41</v>
      </c>
      <c r="C44" s="232">
        <f>SUM($E$10)</f>
        <v>171090</v>
      </c>
      <c r="D44" s="233"/>
      <c r="E44" s="66"/>
      <c r="F44" s="234">
        <f>$K$30</f>
        <v>0</v>
      </c>
      <c r="G44" s="235"/>
      <c r="H44" s="235">
        <f>$L$23</f>
        <v>3000</v>
      </c>
      <c r="I44" s="235"/>
      <c r="J44" s="235"/>
      <c r="K44" s="236">
        <f>$C$44-$H$44+$F$44+$O$44</f>
        <v>168090</v>
      </c>
      <c r="L44" s="236"/>
      <c r="M44" s="67">
        <f>SUM($K$44)/D10</f>
        <v>0.42022500000000002</v>
      </c>
      <c r="N44" s="68">
        <f>$G$37</f>
        <v>1472.6944111327625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5:C46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Y124"/>
  <sheetViews>
    <sheetView showGridLines="0" topLeftCell="A27" zoomScaleNormal="100" workbookViewId="0">
      <selection activeCell="Q43" sqref="Q43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SUM('1217'!$K$43:$L$43)</f>
        <v>25252</v>
      </c>
      <c r="F9" s="42">
        <f>SUM(E9)/D9</f>
        <v>0.12626000000000001</v>
      </c>
      <c r="G9" s="10">
        <f>SUM('1217'!$N$43)</f>
        <v>1061.6454695227444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400000</v>
      </c>
      <c r="E10" s="12">
        <f>SUM('1217'!$K$44:$L$44)</f>
        <v>168090</v>
      </c>
      <c r="F10" s="44">
        <f>SUM(E10)/D10</f>
        <v>0.42022500000000002</v>
      </c>
      <c r="G10" s="13">
        <f>SUM('1217'!$N$44)</f>
        <v>1472.6944111327625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36" t="s">
        <v>43</v>
      </c>
      <c r="L16" s="37">
        <v>2700</v>
      </c>
      <c r="M16" s="37"/>
      <c r="N16" s="94">
        <f t="shared" ref="N16:N22" si="3">IF(L16="","",($G$10))</f>
        <v>1472.6944111327625</v>
      </c>
      <c r="O16" s="95">
        <f t="shared" ref="O16:O22" si="4">IF(L16="","",(SUM(M16)-N16))</f>
        <v>-1472.6944111327625</v>
      </c>
      <c r="P16" s="96">
        <f t="shared" ref="P16:P22" si="5">IF(L16="","",(L16*O16))</f>
        <v>-3976274.9100584588</v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10"/>
      <c r="L18" s="16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110"/>
      <c r="L19" s="16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2700</v>
      </c>
      <c r="M23" s="92"/>
      <c r="N23" s="92"/>
      <c r="O23" s="92"/>
      <c r="P23" s="93">
        <f>SUM(P16:P22)</f>
        <v>-3976274.9100584588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25252</v>
      </c>
      <c r="D29" s="177"/>
      <c r="E29" s="178">
        <f>$G$9</f>
        <v>1061.6454695227444</v>
      </c>
      <c r="F29" s="178"/>
      <c r="G29" s="177">
        <f>C29*E29</f>
        <v>26808671.396388341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165390</v>
      </c>
      <c r="D30" s="174"/>
      <c r="E30" s="185">
        <f>$G$10</f>
        <v>1472.6944111327625</v>
      </c>
      <c r="F30" s="185"/>
      <c r="G30" s="174">
        <f>C30*E30</f>
        <v>243568928.6572476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25252</v>
      </c>
      <c r="D36" s="177"/>
      <c r="E36" s="177">
        <f>$G$29+$O$29</f>
        <v>26808671.396388341</v>
      </c>
      <c r="F36" s="177"/>
      <c r="G36" s="178">
        <f>E36/C36</f>
        <v>1061.6454695227444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165390</v>
      </c>
      <c r="D37" s="174"/>
      <c r="E37" s="174">
        <f>$G$30+$O$30</f>
        <v>243568928.6572476</v>
      </c>
      <c r="F37" s="174"/>
      <c r="G37" s="185">
        <f>E37/C37</f>
        <v>1472.6944111327625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S42" s="2" t="s">
        <v>10</v>
      </c>
    </row>
    <row r="43" spans="2:25" ht="24" customHeight="1">
      <c r="B43" s="61" t="s">
        <v>40</v>
      </c>
      <c r="C43" s="227">
        <f>SUM($E$9)</f>
        <v>25252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24174</v>
      </c>
      <c r="L43" s="231"/>
      <c r="M43" s="63">
        <f>SUM($K$43)/$D$9</f>
        <v>0.12087000000000001</v>
      </c>
      <c r="N43" s="64">
        <f>$G$36</f>
        <v>1061.6454695227444</v>
      </c>
      <c r="O43" s="103">
        <v>-1078</v>
      </c>
      <c r="P43" s="23"/>
      <c r="Q43" s="18"/>
    </row>
    <row r="44" spans="2:25" ht="24.75" customHeight="1">
      <c r="B44" s="65" t="s">
        <v>41</v>
      </c>
      <c r="C44" s="232">
        <f>SUM($E$10)</f>
        <v>168090</v>
      </c>
      <c r="D44" s="233"/>
      <c r="E44" s="66"/>
      <c r="F44" s="234">
        <f>$K$30</f>
        <v>0</v>
      </c>
      <c r="G44" s="235"/>
      <c r="H44" s="235">
        <f>$L$23</f>
        <v>2700</v>
      </c>
      <c r="I44" s="235"/>
      <c r="J44" s="235"/>
      <c r="K44" s="236">
        <f>$C$44-$H$44+$F$44+$O$44</f>
        <v>162794</v>
      </c>
      <c r="L44" s="236"/>
      <c r="M44" s="67">
        <f>SUM($K$44)/D10</f>
        <v>0.40698499999999999</v>
      </c>
      <c r="N44" s="68">
        <f>$G$37</f>
        <v>1472.6944111327625</v>
      </c>
      <c r="O44" s="104">
        <v>-2596</v>
      </c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1:Y124"/>
  <sheetViews>
    <sheetView showGridLines="0" topLeftCell="A28" zoomScaleNormal="100" workbookViewId="0">
      <selection activeCell="I47" sqref="I47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SUM('1219'!$K$43:$L$43)</f>
        <v>24174</v>
      </c>
      <c r="F9" s="42">
        <f>SUM(E9)/D9</f>
        <v>0.12087000000000001</v>
      </c>
      <c r="G9" s="10">
        <f>SUM('1219'!$N$43)</f>
        <v>1061.6454695227444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400000</v>
      </c>
      <c r="E10" s="12">
        <f>SUM('1219'!$K$44:$L$44)</f>
        <v>162794</v>
      </c>
      <c r="F10" s="44">
        <f>SUM(E10)/D10</f>
        <v>0.40698499999999999</v>
      </c>
      <c r="G10" s="13">
        <f>SUM('1219'!$N$44)</f>
        <v>1472.6944111327625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36" t="s">
        <v>44</v>
      </c>
      <c r="L16" s="37">
        <v>32000</v>
      </c>
      <c r="M16" s="37"/>
      <c r="N16" s="94">
        <f t="shared" ref="N16:N22" si="3">IF(L16="","",($G$10))</f>
        <v>1472.6944111327625</v>
      </c>
      <c r="O16" s="95">
        <f t="shared" ref="O16:O22" si="4">IF(L16="","",(SUM(M16)-N16))</f>
        <v>-1472.6944111327625</v>
      </c>
      <c r="P16" s="96">
        <f t="shared" ref="P16:P22" si="5">IF(L16="","",(L16*O16))</f>
        <v>-47126221.156248398</v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 t="s">
        <v>43</v>
      </c>
      <c r="L17" s="16">
        <v>2330</v>
      </c>
      <c r="M17" s="16"/>
      <c r="N17" s="97">
        <f t="shared" si="3"/>
        <v>1472.6944111327625</v>
      </c>
      <c r="O17" s="98">
        <f t="shared" si="4"/>
        <v>-1472.6944111327625</v>
      </c>
      <c r="P17" s="99">
        <f t="shared" si="5"/>
        <v>-3431377.9779393366</v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10"/>
      <c r="L18" s="16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110"/>
      <c r="L19" s="16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34330</v>
      </c>
      <c r="M23" s="92"/>
      <c r="N23" s="92"/>
      <c r="O23" s="92"/>
      <c r="P23" s="93">
        <f>SUM(P16:P22)</f>
        <v>-50557599.134187736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24174</v>
      </c>
      <c r="D29" s="177"/>
      <c r="E29" s="178">
        <f>$G$9</f>
        <v>1061.6454695227444</v>
      </c>
      <c r="F29" s="178"/>
      <c r="G29" s="177">
        <f>C29*E29</f>
        <v>25664217.580242824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128464</v>
      </c>
      <c r="D30" s="174"/>
      <c r="E30" s="185">
        <f>$G$10</f>
        <v>1472.6944111327625</v>
      </c>
      <c r="F30" s="185"/>
      <c r="G30" s="174">
        <f>C30*E30</f>
        <v>189188214.83175921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24174</v>
      </c>
      <c r="D36" s="177"/>
      <c r="E36" s="177">
        <f>$G$29+$O$29</f>
        <v>25664217.580242824</v>
      </c>
      <c r="F36" s="177"/>
      <c r="G36" s="178">
        <f>E36/C36</f>
        <v>1061.6454695227444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128464</v>
      </c>
      <c r="D37" s="174"/>
      <c r="E37" s="174">
        <f>$G$30+$O$30</f>
        <v>189188214.83175921</v>
      </c>
      <c r="F37" s="174"/>
      <c r="G37" s="185">
        <f>E37/C37</f>
        <v>1472.6944111327625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S42" s="2" t="s">
        <v>10</v>
      </c>
    </row>
    <row r="43" spans="2:25" ht="24" customHeight="1">
      <c r="B43" s="61" t="s">
        <v>40</v>
      </c>
      <c r="C43" s="227">
        <f>SUM($E$9)</f>
        <v>24174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24174</v>
      </c>
      <c r="L43" s="231"/>
      <c r="M43" s="63">
        <f>SUM($K$43)/$D$9</f>
        <v>0.12087000000000001</v>
      </c>
      <c r="N43" s="64">
        <f>$G$36</f>
        <v>1061.6454695227444</v>
      </c>
      <c r="O43" s="103"/>
      <c r="P43" s="23"/>
      <c r="Q43" s="18"/>
    </row>
    <row r="44" spans="2:25" ht="24.75" customHeight="1">
      <c r="B44" s="65" t="s">
        <v>41</v>
      </c>
      <c r="C44" s="232">
        <f>SUM($E$10)</f>
        <v>162794</v>
      </c>
      <c r="D44" s="233"/>
      <c r="E44" s="66"/>
      <c r="F44" s="234">
        <f>$K$30</f>
        <v>0</v>
      </c>
      <c r="G44" s="235"/>
      <c r="H44" s="235">
        <f>$L$23</f>
        <v>34330</v>
      </c>
      <c r="I44" s="235"/>
      <c r="J44" s="235"/>
      <c r="K44" s="236">
        <f>$C$44-$H$44+$F$44+$O$44</f>
        <v>128464</v>
      </c>
      <c r="L44" s="236"/>
      <c r="M44" s="67">
        <f>SUM($K$44)/D10</f>
        <v>0.32116</v>
      </c>
      <c r="N44" s="68">
        <f>$G$37</f>
        <v>1472.6944111327625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5:C46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  <pageSetUpPr fitToPage="1"/>
  </sheetPr>
  <dimension ref="B1:Y124"/>
  <sheetViews>
    <sheetView showGridLines="0" topLeftCell="A24" zoomScaleNormal="100" workbookViewId="0">
      <selection activeCell="P38" sqref="P38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SUM('1224'!$K$43:$L$43)</f>
        <v>24174</v>
      </c>
      <c r="F9" s="42">
        <f>SUM(E9)/D9</f>
        <v>0.12087000000000001</v>
      </c>
      <c r="G9" s="10">
        <f>SUM('1224'!$N$43)</f>
        <v>1061.6454695227444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400000</v>
      </c>
      <c r="E10" s="12">
        <f>SUM('1224'!$K$44:$L$44)</f>
        <v>128464</v>
      </c>
      <c r="F10" s="44">
        <f>SUM(E10)/D10</f>
        <v>0.32116</v>
      </c>
      <c r="G10" s="13">
        <f>SUM('1224'!$N$44)</f>
        <v>1472.6944111327625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36"/>
      <c r="L16" s="37"/>
      <c r="M16" s="37"/>
      <c r="N16" s="94" t="str">
        <f t="shared" ref="N16:N22" si="3">IF(L16="","",($G$10))</f>
        <v/>
      </c>
      <c r="O16" s="95" t="str">
        <f t="shared" ref="O16:O22" si="4">IF(L16="","",(SUM(M16)-N16))</f>
        <v/>
      </c>
      <c r="P16" s="96" t="str">
        <f t="shared" ref="P16:P22" si="5">IF(L16="","",(L16*O16))</f>
        <v/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10"/>
      <c r="L18" s="16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110"/>
      <c r="L19" s="16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0</v>
      </c>
      <c r="M23" s="92"/>
      <c r="N23" s="92"/>
      <c r="O23" s="92"/>
      <c r="P23" s="93">
        <f>SUM(P16:P22)</f>
        <v>0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24174</v>
      </c>
      <c r="D29" s="177"/>
      <c r="E29" s="178">
        <f>$G$9</f>
        <v>1061.6454695227444</v>
      </c>
      <c r="F29" s="178"/>
      <c r="G29" s="177">
        <f>C29*E29</f>
        <v>25664217.580242824</v>
      </c>
      <c r="H29" s="179"/>
      <c r="I29" s="17"/>
      <c r="J29" s="49" t="s">
        <v>9</v>
      </c>
      <c r="K29" s="180">
        <v>32000</v>
      </c>
      <c r="L29" s="181"/>
      <c r="M29" s="182">
        <v>999.5</v>
      </c>
      <c r="N29" s="183"/>
      <c r="O29" s="177">
        <f>K29*M29</f>
        <v>31984000</v>
      </c>
      <c r="P29" s="179"/>
      <c r="R29" s="18"/>
    </row>
    <row r="30" spans="2:18" ht="22.5" customHeight="1">
      <c r="B30" s="50" t="s">
        <v>11</v>
      </c>
      <c r="C30" s="184">
        <f>$E$10-$L$23</f>
        <v>128464</v>
      </c>
      <c r="D30" s="174"/>
      <c r="E30" s="185">
        <f>$G$10</f>
        <v>1472.6944111327625</v>
      </c>
      <c r="F30" s="185"/>
      <c r="G30" s="174">
        <f>C30*E30</f>
        <v>189188214.83175921</v>
      </c>
      <c r="H30" s="175"/>
      <c r="I30" s="17"/>
      <c r="J30" s="50" t="s">
        <v>11</v>
      </c>
      <c r="K30" s="186">
        <v>88000</v>
      </c>
      <c r="L30" s="187"/>
      <c r="M30" s="188">
        <v>1453.1</v>
      </c>
      <c r="N30" s="189"/>
      <c r="O30" s="174">
        <f>K30*M30</f>
        <v>127872799.99999999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56174</v>
      </c>
      <c r="D36" s="177"/>
      <c r="E36" s="177">
        <f>$G$29+$O$29</f>
        <v>57648217.580242828</v>
      </c>
      <c r="F36" s="177"/>
      <c r="G36" s="178">
        <f>E36/C36</f>
        <v>1026.2437707879594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216464</v>
      </c>
      <c r="D37" s="174"/>
      <c r="E37" s="174">
        <f>$G$30+$O$30</f>
        <v>317061014.83175921</v>
      </c>
      <c r="F37" s="174"/>
      <c r="G37" s="185">
        <f>E37/C37</f>
        <v>1464.7286146045496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S42" s="2" t="s">
        <v>10</v>
      </c>
    </row>
    <row r="43" spans="2:25" ht="24" customHeight="1">
      <c r="B43" s="61" t="s">
        <v>40</v>
      </c>
      <c r="C43" s="227">
        <f>SUM($E$9)</f>
        <v>24174</v>
      </c>
      <c r="D43" s="228"/>
      <c r="E43" s="62"/>
      <c r="F43" s="229">
        <f>$K$29</f>
        <v>32000</v>
      </c>
      <c r="G43" s="230"/>
      <c r="H43" s="230">
        <f>$D$23</f>
        <v>0</v>
      </c>
      <c r="I43" s="230"/>
      <c r="J43" s="230"/>
      <c r="K43" s="231">
        <f>$C$43-$H$43+$F$43+$O$43</f>
        <v>56174</v>
      </c>
      <c r="L43" s="231"/>
      <c r="M43" s="63">
        <f>SUM($K$43)/$D$9</f>
        <v>0.28087000000000001</v>
      </c>
      <c r="N43" s="64">
        <f>$G$36</f>
        <v>1026.2437707879594</v>
      </c>
      <c r="O43" s="103"/>
      <c r="P43" s="23"/>
      <c r="Q43" s="18"/>
    </row>
    <row r="44" spans="2:25" ht="24.75" customHeight="1">
      <c r="B44" s="65" t="s">
        <v>41</v>
      </c>
      <c r="C44" s="232">
        <f>SUM($E$10)</f>
        <v>128464</v>
      </c>
      <c r="D44" s="233"/>
      <c r="E44" s="66"/>
      <c r="F44" s="234">
        <f>$K$30</f>
        <v>88000</v>
      </c>
      <c r="G44" s="235"/>
      <c r="H44" s="235">
        <f>$L$23</f>
        <v>0</v>
      </c>
      <c r="I44" s="235"/>
      <c r="J44" s="235"/>
      <c r="K44" s="236">
        <f>$C$44-$H$44+$F$44+$O$44</f>
        <v>216464</v>
      </c>
      <c r="L44" s="236"/>
      <c r="M44" s="67">
        <f>SUM($K$44)/D10</f>
        <v>0.54115999999999997</v>
      </c>
      <c r="N44" s="68">
        <f>$G$37</f>
        <v>1464.7286146045496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5:C46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B1:Y124"/>
  <sheetViews>
    <sheetView showGridLines="0" topLeftCell="A25" zoomScaleNormal="100" workbookViewId="0">
      <selection activeCell="P43" sqref="P43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SUM('1228'!$K$43:$L$43)</f>
        <v>56174</v>
      </c>
      <c r="F9" s="42">
        <f>SUM(E9)/D9</f>
        <v>0.28087000000000001</v>
      </c>
      <c r="G9" s="10">
        <f>SUM('1228'!$N$43)</f>
        <v>1026.2437707879594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400000</v>
      </c>
      <c r="E10" s="12">
        <f>SUM('1228'!$K$44:$L$44)</f>
        <v>216464</v>
      </c>
      <c r="F10" s="44">
        <f>SUM(E10)/D10</f>
        <v>0.54115999999999997</v>
      </c>
      <c r="G10" s="13">
        <f>SUM('1228'!$N$44)</f>
        <v>1464.7286146045496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36" t="s">
        <v>43</v>
      </c>
      <c r="L16" s="37">
        <v>3000</v>
      </c>
      <c r="M16" s="37"/>
      <c r="N16" s="94">
        <f t="shared" ref="N16:N22" si="3">IF(L16="","",($G$10))</f>
        <v>1464.7286146045496</v>
      </c>
      <c r="O16" s="95">
        <f t="shared" ref="O16:O22" si="4">IF(L16="","",(SUM(M16)-N16))</f>
        <v>-1464.7286146045496</v>
      </c>
      <c r="P16" s="96">
        <f t="shared" ref="P16:P22" si="5">IF(L16="","",(L16*O16))</f>
        <v>-4394185.8438136494</v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10"/>
      <c r="L18" s="16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110"/>
      <c r="L19" s="16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3000</v>
      </c>
      <c r="M23" s="92"/>
      <c r="N23" s="92"/>
      <c r="O23" s="92"/>
      <c r="P23" s="93">
        <f>SUM(P16:P22)</f>
        <v>-4394185.8438136494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56174</v>
      </c>
      <c r="D29" s="177"/>
      <c r="E29" s="178">
        <f>$G$9</f>
        <v>1026.2437707879594</v>
      </c>
      <c r="F29" s="178"/>
      <c r="G29" s="177">
        <f>C29*E29</f>
        <v>57648217.580242835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213464</v>
      </c>
      <c r="D30" s="174"/>
      <c r="E30" s="185">
        <f>$G$10</f>
        <v>1464.7286146045496</v>
      </c>
      <c r="F30" s="185"/>
      <c r="G30" s="174">
        <f>C30*E30</f>
        <v>312666828.98794556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56174</v>
      </c>
      <c r="D36" s="177"/>
      <c r="E36" s="177">
        <f>$G$29+$O$29</f>
        <v>57648217.580242835</v>
      </c>
      <c r="F36" s="177"/>
      <c r="G36" s="178">
        <f>E36/C36</f>
        <v>1026.2437707879594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213464</v>
      </c>
      <c r="D37" s="174"/>
      <c r="E37" s="174">
        <f>$G$30+$O$30</f>
        <v>312666828.98794556</v>
      </c>
      <c r="F37" s="174"/>
      <c r="G37" s="185">
        <f>E37/C37</f>
        <v>1464.7286146045494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S42" s="2" t="s">
        <v>10</v>
      </c>
    </row>
    <row r="43" spans="2:25" ht="24" customHeight="1">
      <c r="B43" s="61" t="s">
        <v>40</v>
      </c>
      <c r="C43" s="227">
        <f>SUM($E$9)</f>
        <v>56174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56174</v>
      </c>
      <c r="L43" s="231"/>
      <c r="M43" s="63">
        <f>SUM($K$43)/$D$9</f>
        <v>0.28087000000000001</v>
      </c>
      <c r="N43" s="64">
        <f>$G$36</f>
        <v>1026.2437707879594</v>
      </c>
      <c r="O43" s="103"/>
      <c r="P43" s="23"/>
      <c r="Q43" s="18"/>
    </row>
    <row r="44" spans="2:25" ht="24.75" customHeight="1">
      <c r="B44" s="65" t="s">
        <v>41</v>
      </c>
      <c r="C44" s="232">
        <f>SUM($E$10)</f>
        <v>216464</v>
      </c>
      <c r="D44" s="233"/>
      <c r="E44" s="66"/>
      <c r="F44" s="234">
        <f>$K$30</f>
        <v>0</v>
      </c>
      <c r="G44" s="235"/>
      <c r="H44" s="235">
        <f>$L$23</f>
        <v>3000</v>
      </c>
      <c r="I44" s="235"/>
      <c r="J44" s="235"/>
      <c r="K44" s="236">
        <f>$C$44-$H$44+$F$44+$O$44</f>
        <v>213464</v>
      </c>
      <c r="L44" s="236"/>
      <c r="M44" s="67">
        <f>SUM($K$44)/D10</f>
        <v>0.53366000000000002</v>
      </c>
      <c r="N44" s="68">
        <f>$G$37</f>
        <v>1464.7286146045494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5:C46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 r:id="rId1"/>
  <headerFooter alignWithMargins="0"/>
  <rowBreaks count="1" manualBreakCount="1">
    <brk id="22" min="1" max="18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B1:Y124"/>
  <sheetViews>
    <sheetView showGridLines="0" topLeftCell="A25" zoomScaleNormal="100" workbookViewId="0">
      <selection activeCell="P40" sqref="P40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 thickBo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 thickTop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SUM('1230'!$K$43:$L$43)</f>
        <v>56174</v>
      </c>
      <c r="F9" s="42">
        <f>SUM(E9)/D9</f>
        <v>0.28087000000000001</v>
      </c>
      <c r="G9" s="10">
        <f>SUM('1230'!$N$43)</f>
        <v>1026.2437707879594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400000</v>
      </c>
      <c r="E10" s="12">
        <f>SUM('1230'!$K$44:$L$44)</f>
        <v>213464</v>
      </c>
      <c r="F10" s="44">
        <f>SUM(E10)/D10</f>
        <v>0.53366000000000002</v>
      </c>
      <c r="G10" s="13">
        <f>SUM('1230'!$N$44)</f>
        <v>1464.7286146045494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 t="s">
        <v>45</v>
      </c>
      <c r="D16" s="37">
        <v>28000</v>
      </c>
      <c r="E16" s="37"/>
      <c r="F16" s="77">
        <f t="shared" ref="F16:F22" si="0">IF(D16="","",(SUM($G$9)))</f>
        <v>1026.2437707879594</v>
      </c>
      <c r="G16" s="78">
        <f t="shared" ref="G16:G22" si="1">IF(D16="","",(SUM(E16)-F16))</f>
        <v>-1026.2437707879594</v>
      </c>
      <c r="H16" s="79">
        <f t="shared" ref="H16:H22" si="2">IF(D16="","",(D16*G16))</f>
        <v>-28734825.582062863</v>
      </c>
      <c r="I16" s="17"/>
      <c r="J16" s="159" t="s">
        <v>22</v>
      </c>
      <c r="K16" s="36" t="s">
        <v>46</v>
      </c>
      <c r="L16" s="37">
        <v>24000</v>
      </c>
      <c r="M16" s="37"/>
      <c r="N16" s="94">
        <f t="shared" ref="N16:N22" si="3">IF(L16="","",($G$10))</f>
        <v>1464.7286146045494</v>
      </c>
      <c r="O16" s="95">
        <f t="shared" ref="O16:O22" si="4">IF(L16="","",(SUM(M16)-N16))</f>
        <v>-1464.7286146045494</v>
      </c>
      <c r="P16" s="96">
        <f t="shared" ref="P16:P22" si="5">IF(L16="","",(L16*O16))</f>
        <v>-35153486.750509188</v>
      </c>
    </row>
    <row r="17" spans="2:18" ht="24" customHeight="1">
      <c r="B17" s="158"/>
      <c r="C17" s="110" t="s">
        <v>46</v>
      </c>
      <c r="D17" s="16">
        <v>4000</v>
      </c>
      <c r="E17" s="16"/>
      <c r="F17" s="80">
        <f t="shared" si="0"/>
        <v>1026.2437707879594</v>
      </c>
      <c r="G17" s="81">
        <f t="shared" si="1"/>
        <v>-1026.2437707879594</v>
      </c>
      <c r="H17" s="82">
        <f t="shared" si="2"/>
        <v>-4104975.0831518378</v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10"/>
      <c r="L18" s="16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110"/>
      <c r="L19" s="16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32000</v>
      </c>
      <c r="E23" s="75"/>
      <c r="F23" s="75"/>
      <c r="G23" s="75"/>
      <c r="H23" s="76">
        <f>SUM(H16:H22)</f>
        <v>-32839800.665214702</v>
      </c>
      <c r="I23" s="106"/>
      <c r="J23" s="89" t="s">
        <v>24</v>
      </c>
      <c r="K23" s="90"/>
      <c r="L23" s="91">
        <f>SUM(L16:L22)</f>
        <v>24000</v>
      </c>
      <c r="M23" s="92"/>
      <c r="N23" s="92"/>
      <c r="O23" s="92"/>
      <c r="P23" s="93">
        <f>SUM(P16:P22)</f>
        <v>-35153486.750509188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24174</v>
      </c>
      <c r="D29" s="177"/>
      <c r="E29" s="178">
        <f>$G$9</f>
        <v>1026.2437707879594</v>
      </c>
      <c r="F29" s="178"/>
      <c r="G29" s="177">
        <f>C29*E29</f>
        <v>24808416.915028132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189464</v>
      </c>
      <c r="D30" s="174"/>
      <c r="E30" s="185">
        <f>$G$10</f>
        <v>1464.7286146045494</v>
      </c>
      <c r="F30" s="185"/>
      <c r="G30" s="174">
        <f>C30*E30</f>
        <v>277513342.23743635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24174</v>
      </c>
      <c r="D36" s="177"/>
      <c r="E36" s="177">
        <f>$G$29+$O$29-K36</f>
        <v>24384044.038742978</v>
      </c>
      <c r="F36" s="177"/>
      <c r="G36" s="178">
        <f>E36/C36</f>
        <v>1008.6888408514511</v>
      </c>
      <c r="H36" s="214"/>
      <c r="I36" s="17"/>
      <c r="J36" s="17"/>
      <c r="K36" s="120">
        <v>424372.87628515542</v>
      </c>
      <c r="L36" s="18" t="s">
        <v>47</v>
      </c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189464</v>
      </c>
      <c r="D37" s="174"/>
      <c r="E37" s="174">
        <f>$G$30+$O$30</f>
        <v>277513342.23743635</v>
      </c>
      <c r="F37" s="174"/>
      <c r="G37" s="185">
        <f>E37/C37</f>
        <v>1464.7286146045494</v>
      </c>
      <c r="H37" s="212"/>
      <c r="I37" s="17"/>
      <c r="J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S42" s="2" t="s">
        <v>10</v>
      </c>
    </row>
    <row r="43" spans="2:25" ht="24" customHeight="1">
      <c r="B43" s="61" t="s">
        <v>40</v>
      </c>
      <c r="C43" s="227">
        <f>SUM($E$9)</f>
        <v>56174</v>
      </c>
      <c r="D43" s="228"/>
      <c r="E43" s="62"/>
      <c r="F43" s="229">
        <f>$K$29</f>
        <v>0</v>
      </c>
      <c r="G43" s="230"/>
      <c r="H43" s="230">
        <f>$D$23</f>
        <v>32000</v>
      </c>
      <c r="I43" s="230"/>
      <c r="J43" s="230"/>
      <c r="K43" s="231">
        <f>$C$43-$H$43+$F$43+$O$43</f>
        <v>24174</v>
      </c>
      <c r="L43" s="231"/>
      <c r="M43" s="63">
        <f>SUM($K$43)/$D$9</f>
        <v>0.12087000000000001</v>
      </c>
      <c r="N43" s="64">
        <f>$G$36</f>
        <v>1008.6888408514511</v>
      </c>
      <c r="O43" s="103"/>
      <c r="P43" s="23"/>
      <c r="Q43" s="18"/>
    </row>
    <row r="44" spans="2:25" ht="24.75" customHeight="1">
      <c r="B44" s="65" t="s">
        <v>41</v>
      </c>
      <c r="C44" s="232">
        <f>SUM($E$10)</f>
        <v>213464</v>
      </c>
      <c r="D44" s="233"/>
      <c r="E44" s="66"/>
      <c r="F44" s="234">
        <f>$K$30</f>
        <v>0</v>
      </c>
      <c r="G44" s="235"/>
      <c r="H44" s="235">
        <f>$L$23</f>
        <v>24000</v>
      </c>
      <c r="I44" s="235"/>
      <c r="J44" s="235"/>
      <c r="K44" s="236">
        <f>$C$44-$H$44+$F$44+$O$44</f>
        <v>189464</v>
      </c>
      <c r="L44" s="236"/>
      <c r="M44" s="67">
        <f>SUM($K$44)/D10</f>
        <v>0.47366000000000003</v>
      </c>
      <c r="N44" s="68">
        <f>$G$37</f>
        <v>1464.7286146045494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5:C46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 r:id="rId1"/>
  <headerFooter alignWithMargins="0"/>
  <rowBreaks count="1" manualBreakCount="1">
    <brk id="22" min="1" max="18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B1:Y124"/>
  <sheetViews>
    <sheetView showGridLines="0" topLeftCell="A31" zoomScaleNormal="100" workbookViewId="0">
      <selection activeCell="H51" sqref="H51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SUM('0105'!$K$43:$L$43)</f>
        <v>24174</v>
      </c>
      <c r="F9" s="42">
        <f>SUM(E9)/D9</f>
        <v>0.12087000000000001</v>
      </c>
      <c r="G9" s="10">
        <f>SUM('0105'!$N$43)</f>
        <v>1008.6888408514511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400000</v>
      </c>
      <c r="E10" s="12">
        <f>SUM('0105'!$K$44:$L$44)</f>
        <v>189464</v>
      </c>
      <c r="F10" s="44">
        <f>SUM(E10)/D10</f>
        <v>0.47366000000000003</v>
      </c>
      <c r="G10" s="13">
        <f>SUM('0105'!$N$44)</f>
        <v>1464.7286146045494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 t="s">
        <v>43</v>
      </c>
      <c r="D16" s="37">
        <v>2400</v>
      </c>
      <c r="E16" s="37"/>
      <c r="F16" s="77">
        <f t="shared" ref="F16:F22" si="0">IF(D16="","",(SUM($G$9)))</f>
        <v>1008.6888408514511</v>
      </c>
      <c r="G16" s="78">
        <f t="shared" ref="G16:G22" si="1">IF(D16="","",(SUM(E16)-F16))</f>
        <v>-1008.6888408514511</v>
      </c>
      <c r="H16" s="79">
        <f t="shared" ref="H16:H22" si="2">IF(D16="","",(D16*G16))</f>
        <v>-2420853.2180434829</v>
      </c>
      <c r="I16" s="17"/>
      <c r="J16" s="159" t="s">
        <v>22</v>
      </c>
      <c r="K16" s="36"/>
      <c r="L16" s="37"/>
      <c r="M16" s="37"/>
      <c r="N16" s="94" t="str">
        <f t="shared" ref="N16:N22" si="3">IF(L16="","",($G$10))</f>
        <v/>
      </c>
      <c r="O16" s="95" t="str">
        <f t="shared" ref="O16:O22" si="4">IF(L16="","",(SUM(M16)-N16))</f>
        <v/>
      </c>
      <c r="P16" s="96" t="str">
        <f t="shared" ref="P16:P22" si="5">IF(L16="","",(L16*O16))</f>
        <v/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10"/>
      <c r="L18" s="16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110"/>
      <c r="L19" s="16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2400</v>
      </c>
      <c r="E23" s="75"/>
      <c r="F23" s="75"/>
      <c r="G23" s="75"/>
      <c r="H23" s="76">
        <f>SUM(H16:H22)</f>
        <v>-2420853.2180434829</v>
      </c>
      <c r="I23" s="106"/>
      <c r="J23" s="89" t="s">
        <v>24</v>
      </c>
      <c r="K23" s="90"/>
      <c r="L23" s="91">
        <f>SUM(L16:L22)</f>
        <v>0</v>
      </c>
      <c r="M23" s="92"/>
      <c r="N23" s="92"/>
      <c r="O23" s="92"/>
      <c r="P23" s="93">
        <f>SUM(P16:P22)</f>
        <v>0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21774</v>
      </c>
      <c r="D29" s="177"/>
      <c r="E29" s="178">
        <f>$G$9</f>
        <v>1008.6888408514511</v>
      </c>
      <c r="F29" s="178"/>
      <c r="G29" s="177">
        <f>C29*E29</f>
        <v>21963190.820699498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189464</v>
      </c>
      <c r="D30" s="174"/>
      <c r="E30" s="185">
        <f>$G$10</f>
        <v>1464.7286146045494</v>
      </c>
      <c r="F30" s="185"/>
      <c r="G30" s="174">
        <f>C30*E30</f>
        <v>277513342.23743635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21774</v>
      </c>
      <c r="D36" s="177"/>
      <c r="E36" s="177">
        <f>$G$29+$O$29</f>
        <v>21963190.820699498</v>
      </c>
      <c r="F36" s="177"/>
      <c r="G36" s="178">
        <f>E36/C36</f>
        <v>1008.6888408514512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189464</v>
      </c>
      <c r="D37" s="174"/>
      <c r="E37" s="174">
        <f>$G$30+$O$30</f>
        <v>277513342.23743635</v>
      </c>
      <c r="F37" s="174"/>
      <c r="G37" s="185">
        <f>E37/C37</f>
        <v>1464.7286146045494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S42" s="2" t="s">
        <v>10</v>
      </c>
    </row>
    <row r="43" spans="2:25" ht="24" customHeight="1">
      <c r="B43" s="61" t="s">
        <v>40</v>
      </c>
      <c r="C43" s="227">
        <f>SUM($E$9)</f>
        <v>24174</v>
      </c>
      <c r="D43" s="228"/>
      <c r="E43" s="62"/>
      <c r="F43" s="229">
        <f>$K$29</f>
        <v>0</v>
      </c>
      <c r="G43" s="230"/>
      <c r="H43" s="230">
        <f>$D$23</f>
        <v>2400</v>
      </c>
      <c r="I43" s="230"/>
      <c r="J43" s="230"/>
      <c r="K43" s="231">
        <f>$C$43-$H$43+$F$43+$O$43</f>
        <v>21774</v>
      </c>
      <c r="L43" s="231"/>
      <c r="M43" s="63">
        <f>SUM($K$43)/$D$9</f>
        <v>0.10886999999999999</v>
      </c>
      <c r="N43" s="64">
        <f>$G$36</f>
        <v>1008.6888408514512</v>
      </c>
      <c r="O43" s="103"/>
      <c r="P43" s="23"/>
      <c r="Q43" s="18"/>
    </row>
    <row r="44" spans="2:25" ht="24.75" customHeight="1">
      <c r="B44" s="65" t="s">
        <v>41</v>
      </c>
      <c r="C44" s="232">
        <f>SUM($E$10)</f>
        <v>189464</v>
      </c>
      <c r="D44" s="233"/>
      <c r="E44" s="66"/>
      <c r="F44" s="234">
        <f>$K$30</f>
        <v>0</v>
      </c>
      <c r="G44" s="235"/>
      <c r="H44" s="235">
        <f>$L$23</f>
        <v>0</v>
      </c>
      <c r="I44" s="235"/>
      <c r="J44" s="235"/>
      <c r="K44" s="236">
        <f>$C$44-$H$44+$F$44+$O$44</f>
        <v>189464</v>
      </c>
      <c r="L44" s="236"/>
      <c r="M44" s="67">
        <f>SUM($K$44)/D10</f>
        <v>0.47366000000000003</v>
      </c>
      <c r="N44" s="68">
        <f>$G$37</f>
        <v>1464.7286146045494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B1:Y124"/>
  <sheetViews>
    <sheetView showGridLines="0" topLeftCell="A28" zoomScaleNormal="100" workbookViewId="0">
      <selection activeCell="P47" sqref="P47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SUM('0113'!$K$43:$L$43)</f>
        <v>21774</v>
      </c>
      <c r="F9" s="42">
        <f>SUM(E9)/D9</f>
        <v>0.10886999999999999</v>
      </c>
      <c r="G9" s="10">
        <f>SUM('0113'!$N$43)</f>
        <v>1008.6888408514512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400000</v>
      </c>
      <c r="E10" s="12">
        <f>SUM('0113'!$K$44:$L$44)</f>
        <v>189464</v>
      </c>
      <c r="F10" s="44">
        <f>SUM(E10)/D10</f>
        <v>0.47366000000000003</v>
      </c>
      <c r="G10" s="13">
        <f>SUM('0113'!$N$44)</f>
        <v>1464.7286146045494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 t="s">
        <v>43</v>
      </c>
      <c r="D16" s="37">
        <v>5000</v>
      </c>
      <c r="E16" s="37"/>
      <c r="F16" s="77">
        <f t="shared" ref="F16:F22" si="0">IF(D16="","",(SUM($G$9)))</f>
        <v>1008.6888408514512</v>
      </c>
      <c r="G16" s="78">
        <f t="shared" ref="G16:G22" si="1">IF(D16="","",(SUM(E16)-F16))</f>
        <v>-1008.6888408514512</v>
      </c>
      <c r="H16" s="79">
        <f t="shared" ref="H16:H22" si="2">IF(D16="","",(D16*G16))</f>
        <v>-5043444.2042572564</v>
      </c>
      <c r="I16" s="17"/>
      <c r="J16" s="159" t="s">
        <v>22</v>
      </c>
      <c r="K16" s="36"/>
      <c r="L16" s="37"/>
      <c r="M16" s="37"/>
      <c r="N16" s="94" t="str">
        <f t="shared" ref="N16:N22" si="3">IF(L16="","",($G$10))</f>
        <v/>
      </c>
      <c r="O16" s="95" t="str">
        <f t="shared" ref="O16:O22" si="4">IF(L16="","",(SUM(M16)-N16))</f>
        <v/>
      </c>
      <c r="P16" s="96" t="str">
        <f t="shared" ref="P16:P22" si="5">IF(L16="","",(L16*O16))</f>
        <v/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10"/>
      <c r="L18" s="16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110"/>
      <c r="L19" s="16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5000</v>
      </c>
      <c r="E23" s="75"/>
      <c r="F23" s="75"/>
      <c r="G23" s="75"/>
      <c r="H23" s="76">
        <f>SUM(H16:H22)</f>
        <v>-5043444.2042572564</v>
      </c>
      <c r="I23" s="106"/>
      <c r="J23" s="89" t="s">
        <v>24</v>
      </c>
      <c r="K23" s="90"/>
      <c r="L23" s="91">
        <f>SUM(L16:L22)</f>
        <v>0</v>
      </c>
      <c r="M23" s="92"/>
      <c r="N23" s="92"/>
      <c r="O23" s="92"/>
      <c r="P23" s="93">
        <f>SUM(P16:P22)</f>
        <v>0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16774</v>
      </c>
      <c r="D29" s="177"/>
      <c r="E29" s="178">
        <f>$G$9</f>
        <v>1008.6888408514512</v>
      </c>
      <c r="F29" s="178"/>
      <c r="G29" s="177">
        <f>C29*E29</f>
        <v>16919746.616442244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189464</v>
      </c>
      <c r="D30" s="174"/>
      <c r="E30" s="185">
        <f>$G$10</f>
        <v>1464.7286146045494</v>
      </c>
      <c r="F30" s="185"/>
      <c r="G30" s="174">
        <f>C30*E30</f>
        <v>277513342.23743635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16774</v>
      </c>
      <c r="D36" s="177"/>
      <c r="E36" s="177">
        <f>$G$29+$O$29</f>
        <v>16919746.616442244</v>
      </c>
      <c r="F36" s="177"/>
      <c r="G36" s="178">
        <f>E36/C36</f>
        <v>1008.6888408514513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189464</v>
      </c>
      <c r="D37" s="174"/>
      <c r="E37" s="174">
        <f>$G$30+$O$30</f>
        <v>277513342.23743635</v>
      </c>
      <c r="F37" s="174"/>
      <c r="G37" s="185">
        <f>E37/C37</f>
        <v>1464.7286146045494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S42" s="2" t="s">
        <v>10</v>
      </c>
    </row>
    <row r="43" spans="2:25" ht="24" customHeight="1">
      <c r="B43" s="61" t="s">
        <v>40</v>
      </c>
      <c r="C43" s="227">
        <f>SUM($E$9)</f>
        <v>21774</v>
      </c>
      <c r="D43" s="228"/>
      <c r="E43" s="62"/>
      <c r="F43" s="229">
        <f>$K$29</f>
        <v>0</v>
      </c>
      <c r="G43" s="230"/>
      <c r="H43" s="230">
        <f>$D$23</f>
        <v>5000</v>
      </c>
      <c r="I43" s="230"/>
      <c r="J43" s="230"/>
      <c r="K43" s="231">
        <f>$C$43-$H$43+$F$43+$O$43</f>
        <v>16774</v>
      </c>
      <c r="L43" s="231"/>
      <c r="M43" s="63">
        <f>SUM($K$43)/$D$9</f>
        <v>8.387E-2</v>
      </c>
      <c r="N43" s="64">
        <f>$G$36</f>
        <v>1008.6888408514513</v>
      </c>
      <c r="O43" s="103"/>
      <c r="P43" s="23"/>
      <c r="Q43" s="18"/>
    </row>
    <row r="44" spans="2:25" ht="24.75" customHeight="1">
      <c r="B44" s="65" t="s">
        <v>41</v>
      </c>
      <c r="C44" s="232">
        <f>SUM($E$10)</f>
        <v>189464</v>
      </c>
      <c r="D44" s="233"/>
      <c r="E44" s="66"/>
      <c r="F44" s="234">
        <f>$K$30</f>
        <v>0</v>
      </c>
      <c r="G44" s="235"/>
      <c r="H44" s="235">
        <f>$L$23</f>
        <v>0</v>
      </c>
      <c r="I44" s="235"/>
      <c r="J44" s="235"/>
      <c r="K44" s="236">
        <f>$C$44-$H$44+$F$44+$O$44</f>
        <v>189464</v>
      </c>
      <c r="L44" s="236"/>
      <c r="M44" s="67">
        <f>SUM($K$44)/D10</f>
        <v>0.47366000000000003</v>
      </c>
      <c r="N44" s="68">
        <f>$G$37</f>
        <v>1464.7286146045494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5:C46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  <pageSetUpPr fitToPage="1"/>
  </sheetPr>
  <dimension ref="B1:Y124"/>
  <sheetViews>
    <sheetView showGridLines="0" topLeftCell="A22" zoomScaleNormal="100" workbookViewId="0">
      <selection activeCell="M29" sqref="M29:N29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SUM('0114'!$K$43:$L$43)</f>
        <v>16774</v>
      </c>
      <c r="F9" s="42">
        <f>SUM(E9)/D9</f>
        <v>8.387E-2</v>
      </c>
      <c r="G9" s="10">
        <f>SUM('0114'!$N$43)</f>
        <v>1008.6888408514513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400000</v>
      </c>
      <c r="E10" s="12">
        <f>SUM('0114'!$K$44:$L$44)</f>
        <v>189464</v>
      </c>
      <c r="F10" s="44">
        <f>SUM(E10)/D10</f>
        <v>0.47366000000000003</v>
      </c>
      <c r="G10" s="13">
        <f>SUM('0114'!$N$44)</f>
        <v>1464.7286146045494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36"/>
      <c r="L16" s="37"/>
      <c r="M16" s="37"/>
      <c r="N16" s="94" t="str">
        <f t="shared" ref="N16:N22" si="3">IF(L16="","",($G$10))</f>
        <v/>
      </c>
      <c r="O16" s="95" t="str">
        <f t="shared" ref="O16:O22" si="4">IF(L16="","",(SUM(M16)-N16))</f>
        <v/>
      </c>
      <c r="P16" s="96" t="str">
        <f t="shared" ref="P16:P22" si="5">IF(L16="","",(L16*O16))</f>
        <v/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10"/>
      <c r="L18" s="16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110"/>
      <c r="L19" s="16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0</v>
      </c>
      <c r="M23" s="92"/>
      <c r="N23" s="92"/>
      <c r="O23" s="92"/>
      <c r="P23" s="93">
        <f>SUM(P16:P22)</f>
        <v>0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16774</v>
      </c>
      <c r="D29" s="177"/>
      <c r="E29" s="178">
        <f>$G$9</f>
        <v>1008.6888408514513</v>
      </c>
      <c r="F29" s="178"/>
      <c r="G29" s="177">
        <f>C29*E29</f>
        <v>16919746.616442244</v>
      </c>
      <c r="H29" s="179"/>
      <c r="I29" s="17"/>
      <c r="J29" s="49" t="s">
        <v>9</v>
      </c>
      <c r="K29" s="180">
        <v>64000</v>
      </c>
      <c r="L29" s="181"/>
      <c r="M29" s="182">
        <v>974.5</v>
      </c>
      <c r="N29" s="183"/>
      <c r="O29" s="177">
        <f>K29*M29</f>
        <v>62368000</v>
      </c>
      <c r="P29" s="179"/>
      <c r="R29" s="18"/>
    </row>
    <row r="30" spans="2:18" ht="22.5" customHeight="1">
      <c r="B30" s="50" t="s">
        <v>11</v>
      </c>
      <c r="C30" s="184">
        <f>$E$10-$L$23</f>
        <v>189464</v>
      </c>
      <c r="D30" s="174"/>
      <c r="E30" s="185">
        <f>$G$10</f>
        <v>1464.7286146045494</v>
      </c>
      <c r="F30" s="185"/>
      <c r="G30" s="174">
        <f>C30*E30</f>
        <v>277513342.23743635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80774</v>
      </c>
      <c r="D36" s="177"/>
      <c r="E36" s="177">
        <f>$G$29+$O$29</f>
        <v>79287746.616442248</v>
      </c>
      <c r="F36" s="177"/>
      <c r="G36" s="178">
        <f>E36/C36</f>
        <v>981.59985411694663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189464</v>
      </c>
      <c r="D37" s="174"/>
      <c r="E37" s="174">
        <f>$G$30+$O$30</f>
        <v>277513342.23743635</v>
      </c>
      <c r="F37" s="174"/>
      <c r="G37" s="185">
        <f>E37/C37</f>
        <v>1464.7286146045494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S42" s="2" t="s">
        <v>10</v>
      </c>
    </row>
    <row r="43" spans="2:25" ht="24" customHeight="1">
      <c r="B43" s="61" t="s">
        <v>40</v>
      </c>
      <c r="C43" s="227">
        <f>SUM($E$9)</f>
        <v>16774</v>
      </c>
      <c r="D43" s="228"/>
      <c r="E43" s="62"/>
      <c r="F43" s="229">
        <f>$K$29</f>
        <v>64000</v>
      </c>
      <c r="G43" s="230"/>
      <c r="H43" s="230">
        <f>$D$23</f>
        <v>0</v>
      </c>
      <c r="I43" s="230"/>
      <c r="J43" s="230"/>
      <c r="K43" s="231">
        <f>$C$43-$H$43+$F$43+$O$43</f>
        <v>80774</v>
      </c>
      <c r="L43" s="231"/>
      <c r="M43" s="63">
        <f>SUM($K$43)/$D$9</f>
        <v>0.40387000000000001</v>
      </c>
      <c r="N43" s="64">
        <f>$G$36</f>
        <v>981.59985411694663</v>
      </c>
      <c r="O43" s="103"/>
      <c r="P43" s="23"/>
      <c r="Q43" s="18"/>
    </row>
    <row r="44" spans="2:25" ht="24.75" customHeight="1">
      <c r="B44" s="65" t="s">
        <v>41</v>
      </c>
      <c r="C44" s="232">
        <f>SUM($E$10)</f>
        <v>189464</v>
      </c>
      <c r="D44" s="233"/>
      <c r="E44" s="66"/>
      <c r="F44" s="234">
        <f>$K$30</f>
        <v>0</v>
      </c>
      <c r="G44" s="235"/>
      <c r="H44" s="235">
        <f>$L$23</f>
        <v>0</v>
      </c>
      <c r="I44" s="235"/>
      <c r="J44" s="235"/>
      <c r="K44" s="236">
        <f>$C$44-$H$44+$F$44+$O$44</f>
        <v>189464</v>
      </c>
      <c r="L44" s="236"/>
      <c r="M44" s="67">
        <f>SUM($K$44)/D10</f>
        <v>0.47366000000000003</v>
      </c>
      <c r="N44" s="68">
        <f>$G$37</f>
        <v>1464.7286146045494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  <pageSetUpPr fitToPage="1"/>
  </sheetPr>
  <dimension ref="B1:Y124"/>
  <sheetViews>
    <sheetView showGridLines="0" topLeftCell="A16" zoomScaleNormal="100" workbookViewId="0">
      <selection activeCell="S43" sqref="S43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SUM('0115'!$K$43:$L$43)</f>
        <v>80774</v>
      </c>
      <c r="F9" s="42">
        <f>SUM(E9)/D9</f>
        <v>0.40387000000000001</v>
      </c>
      <c r="G9" s="10">
        <f>SUM('0115'!$N$43)</f>
        <v>981.59985411694663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400000</v>
      </c>
      <c r="E10" s="12">
        <f>SUM('0115'!$K$44:$L$44)</f>
        <v>189464</v>
      </c>
      <c r="F10" s="44">
        <f>SUM(E10)/D10</f>
        <v>0.47366000000000003</v>
      </c>
      <c r="G10" s="13">
        <f>SUM('0115'!$N$44)</f>
        <v>1464.7286146045494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36" t="s">
        <v>48</v>
      </c>
      <c r="L16" s="37">
        <v>8000</v>
      </c>
      <c r="M16" s="37"/>
      <c r="N16" s="94">
        <f t="shared" ref="N16:N22" si="3">IF(L16="","",($G$10))</f>
        <v>1464.7286146045494</v>
      </c>
      <c r="O16" s="95">
        <f t="shared" ref="O16:O22" si="4">IF(L16="","",(SUM(M16)-N16))</f>
        <v>-1464.7286146045494</v>
      </c>
      <c r="P16" s="96">
        <f t="shared" ref="P16:P22" si="5">IF(L16="","",(L16*O16))</f>
        <v>-11717828.916836396</v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10"/>
      <c r="L18" s="16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110"/>
      <c r="L19" s="16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8000</v>
      </c>
      <c r="M23" s="92"/>
      <c r="N23" s="92"/>
      <c r="O23" s="92"/>
      <c r="P23" s="93">
        <f>SUM(P16:P22)</f>
        <v>-11717828.916836396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80774</v>
      </c>
      <c r="D29" s="177"/>
      <c r="E29" s="178">
        <f>$G$9</f>
        <v>981.59985411694663</v>
      </c>
      <c r="F29" s="178"/>
      <c r="G29" s="177">
        <f>C29*E29</f>
        <v>79287746.616442248</v>
      </c>
      <c r="H29" s="179"/>
      <c r="I29" s="17"/>
      <c r="J29" s="49" t="s">
        <v>9</v>
      </c>
      <c r="K29" s="180">
        <v>32000</v>
      </c>
      <c r="L29" s="181"/>
      <c r="M29" s="182">
        <v>974.5</v>
      </c>
      <c r="N29" s="183"/>
      <c r="O29" s="177">
        <f>K29*M29</f>
        <v>31184000</v>
      </c>
      <c r="P29" s="179"/>
      <c r="R29" s="18"/>
    </row>
    <row r="30" spans="2:18" ht="22.5" customHeight="1">
      <c r="B30" s="50" t="s">
        <v>11</v>
      </c>
      <c r="C30" s="184">
        <f>$E$10-$L$23</f>
        <v>181464</v>
      </c>
      <c r="D30" s="174"/>
      <c r="E30" s="185">
        <f>$G$10</f>
        <v>1464.7286146045494</v>
      </c>
      <c r="F30" s="185"/>
      <c r="G30" s="174">
        <f>C30*E30</f>
        <v>265795513.32059994</v>
      </c>
      <c r="H30" s="175"/>
      <c r="I30" s="17"/>
      <c r="J30" s="50" t="s">
        <v>11</v>
      </c>
      <c r="K30" s="186">
        <v>20000</v>
      </c>
      <c r="L30" s="187"/>
      <c r="M30" s="188">
        <v>1443.1</v>
      </c>
      <c r="N30" s="189"/>
      <c r="O30" s="174">
        <f>K30*M30</f>
        <v>28862000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112774</v>
      </c>
      <c r="D36" s="177"/>
      <c r="E36" s="177">
        <f>$G$29+$O$29</f>
        <v>110471746.61644225</v>
      </c>
      <c r="F36" s="177"/>
      <c r="G36" s="178">
        <f>E36/C36</f>
        <v>979.58524674519174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201464</v>
      </c>
      <c r="D37" s="174"/>
      <c r="E37" s="174">
        <f>$G$30+$O$30</f>
        <v>294657513.32059991</v>
      </c>
      <c r="F37" s="174"/>
      <c r="G37" s="185">
        <f>E37/C37</f>
        <v>1462.5814702408366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S42" s="2" t="s">
        <v>10</v>
      </c>
    </row>
    <row r="43" spans="2:25" ht="24" customHeight="1">
      <c r="B43" s="61" t="s">
        <v>40</v>
      </c>
      <c r="C43" s="227">
        <f>SUM($E$9)</f>
        <v>80774</v>
      </c>
      <c r="D43" s="228"/>
      <c r="E43" s="62"/>
      <c r="F43" s="229">
        <f>$K$29</f>
        <v>32000</v>
      </c>
      <c r="G43" s="230"/>
      <c r="H43" s="230">
        <f>$D$23</f>
        <v>0</v>
      </c>
      <c r="I43" s="230"/>
      <c r="J43" s="230"/>
      <c r="K43" s="231">
        <f>$C$43-$H$43+$F$43+$O$43</f>
        <v>112774</v>
      </c>
      <c r="L43" s="231"/>
      <c r="M43" s="63">
        <f>SUM($K$43)/$D$9</f>
        <v>0.56386999999999998</v>
      </c>
      <c r="N43" s="64">
        <f>$G$36</f>
        <v>979.58524674519174</v>
      </c>
      <c r="O43" s="103"/>
      <c r="P43" s="23"/>
      <c r="Q43" s="18"/>
    </row>
    <row r="44" spans="2:25" ht="24.75" customHeight="1">
      <c r="B44" s="65" t="s">
        <v>41</v>
      </c>
      <c r="C44" s="232">
        <f>SUM($E$10)</f>
        <v>189464</v>
      </c>
      <c r="D44" s="233"/>
      <c r="E44" s="66"/>
      <c r="F44" s="234">
        <f>$K$30</f>
        <v>20000</v>
      </c>
      <c r="G44" s="235"/>
      <c r="H44" s="235">
        <f>$L$23</f>
        <v>8000</v>
      </c>
      <c r="I44" s="235"/>
      <c r="J44" s="235"/>
      <c r="K44" s="236">
        <f>$C$44-$H$44+$F$44+$O$44</f>
        <v>201464</v>
      </c>
      <c r="L44" s="236"/>
      <c r="M44" s="67">
        <f>SUM($K$44)/D10</f>
        <v>0.50366</v>
      </c>
      <c r="N44" s="68">
        <f>$G$37</f>
        <v>1462.5814702408366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5:C46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B1:Y124"/>
  <sheetViews>
    <sheetView showGridLines="0" topLeftCell="A28" zoomScaleNormal="100" workbookViewId="0">
      <selection activeCell="Q42" sqref="Q42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SUM('0116'!$K$43:$L$43)</f>
        <v>112774</v>
      </c>
      <c r="F9" s="42">
        <f>SUM(E9)/D9</f>
        <v>0.56386999999999998</v>
      </c>
      <c r="G9" s="10">
        <f>SUM('0116'!$N$43)</f>
        <v>979.58524674519174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400000</v>
      </c>
      <c r="E10" s="12">
        <f>SUM('0116'!$K$44:$L$44)</f>
        <v>201464</v>
      </c>
      <c r="F10" s="44">
        <f>SUM(E10)/D10</f>
        <v>0.50366</v>
      </c>
      <c r="G10" s="13">
        <f>SUM('0116'!$N$44)</f>
        <v>1462.5814702408366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 t="s">
        <v>49</v>
      </c>
      <c r="D16" s="37">
        <v>16000</v>
      </c>
      <c r="E16" s="37"/>
      <c r="F16" s="77">
        <f t="shared" ref="F16:F22" si="0">IF(D16="","",(SUM($G$9)))</f>
        <v>979.58524674519174</v>
      </c>
      <c r="G16" s="78">
        <f t="shared" ref="G16:G22" si="1">IF(D16="","",(SUM(E16)-F16))</f>
        <v>-979.58524674519174</v>
      </c>
      <c r="H16" s="79">
        <f t="shared" ref="H16:H22" si="2">IF(D16="","",(D16*G16))</f>
        <v>-15673363.947923068</v>
      </c>
      <c r="I16" s="17"/>
      <c r="J16" s="159" t="s">
        <v>22</v>
      </c>
      <c r="K16" s="36"/>
      <c r="L16" s="37"/>
      <c r="M16" s="37"/>
      <c r="N16" s="94" t="str">
        <f t="shared" ref="N16:N22" si="3">IF(L16="","",($G$10))</f>
        <v/>
      </c>
      <c r="O16" s="95" t="str">
        <f t="shared" ref="O16:O22" si="4">IF(L16="","",(SUM(M16)-N16))</f>
        <v/>
      </c>
      <c r="P16" s="96" t="str">
        <f t="shared" ref="P16:P22" si="5">IF(L16="","",(L16*O16))</f>
        <v/>
      </c>
    </row>
    <row r="17" spans="2:18" ht="24" customHeight="1">
      <c r="B17" s="158"/>
      <c r="C17" s="110" t="s">
        <v>50</v>
      </c>
      <c r="D17" s="16">
        <v>12000</v>
      </c>
      <c r="E17" s="16"/>
      <c r="F17" s="80">
        <f t="shared" si="0"/>
        <v>979.58524674519174</v>
      </c>
      <c r="G17" s="81">
        <f t="shared" si="1"/>
        <v>-979.58524674519174</v>
      </c>
      <c r="H17" s="82">
        <f t="shared" si="2"/>
        <v>-11755022.9609423</v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10"/>
      <c r="L18" s="16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110"/>
      <c r="L19" s="16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28000</v>
      </c>
      <c r="E23" s="75"/>
      <c r="F23" s="75"/>
      <c r="G23" s="75"/>
      <c r="H23" s="76">
        <f>SUM(H16:H22)</f>
        <v>-27428386.90886537</v>
      </c>
      <c r="I23" s="106"/>
      <c r="J23" s="89" t="s">
        <v>24</v>
      </c>
      <c r="K23" s="90"/>
      <c r="L23" s="91">
        <f>SUM(L16:L22)</f>
        <v>0</v>
      </c>
      <c r="M23" s="92"/>
      <c r="N23" s="92"/>
      <c r="O23" s="92"/>
      <c r="P23" s="93">
        <f>SUM(P16:P22)</f>
        <v>0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84774</v>
      </c>
      <c r="D29" s="177"/>
      <c r="E29" s="178">
        <f>$G$9</f>
        <v>979.58524674519174</v>
      </c>
      <c r="F29" s="178"/>
      <c r="G29" s="177">
        <f>C29*E29</f>
        <v>83043359.707576886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201464</v>
      </c>
      <c r="D30" s="174"/>
      <c r="E30" s="185">
        <f>$G$10</f>
        <v>1462.5814702408366</v>
      </c>
      <c r="F30" s="185"/>
      <c r="G30" s="174">
        <f>C30*E30</f>
        <v>294657513.32059991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84774</v>
      </c>
      <c r="D36" s="177"/>
      <c r="E36" s="177">
        <f>$G$29+$O$29</f>
        <v>83043359.707576886</v>
      </c>
      <c r="F36" s="177"/>
      <c r="G36" s="178">
        <f>E36/C36</f>
        <v>979.58524674519174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201464</v>
      </c>
      <c r="D37" s="174"/>
      <c r="E37" s="174">
        <f>$G$30+$O$30</f>
        <v>294657513.32059991</v>
      </c>
      <c r="F37" s="174"/>
      <c r="G37" s="185">
        <f>E37/C37</f>
        <v>1462.5814702408366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S42" s="2" t="s">
        <v>10</v>
      </c>
    </row>
    <row r="43" spans="2:25" ht="24" customHeight="1">
      <c r="B43" s="61" t="s">
        <v>40</v>
      </c>
      <c r="C43" s="227">
        <f>SUM($E$9)</f>
        <v>112774</v>
      </c>
      <c r="D43" s="228"/>
      <c r="E43" s="62"/>
      <c r="F43" s="229">
        <f>$K$29</f>
        <v>0</v>
      </c>
      <c r="G43" s="230"/>
      <c r="H43" s="230">
        <f>$D$23</f>
        <v>28000</v>
      </c>
      <c r="I43" s="230"/>
      <c r="J43" s="230"/>
      <c r="K43" s="231">
        <f>$C$43-$H$43+$F$43+$O$43</f>
        <v>81892</v>
      </c>
      <c r="L43" s="231"/>
      <c r="M43" s="63">
        <f>SUM($K$43)/$D$9</f>
        <v>0.40945999999999999</v>
      </c>
      <c r="N43" s="64">
        <f>$G$36</f>
        <v>979.58524674519174</v>
      </c>
      <c r="O43" s="103">
        <v>-2882</v>
      </c>
      <c r="P43" s="23"/>
      <c r="Q43" s="18"/>
    </row>
    <row r="44" spans="2:25" ht="24.75" customHeight="1">
      <c r="B44" s="65" t="s">
        <v>41</v>
      </c>
      <c r="C44" s="232">
        <f>SUM($E$10)</f>
        <v>201464</v>
      </c>
      <c r="D44" s="233"/>
      <c r="E44" s="66"/>
      <c r="F44" s="234">
        <f>$K$30</f>
        <v>0</v>
      </c>
      <c r="G44" s="235"/>
      <c r="H44" s="235">
        <f>$L$23</f>
        <v>0</v>
      </c>
      <c r="I44" s="235"/>
      <c r="J44" s="235"/>
      <c r="K44" s="236">
        <f>$C$44-$H$44+$F$44+$O$44</f>
        <v>198609</v>
      </c>
      <c r="L44" s="236"/>
      <c r="M44" s="67">
        <f>SUM($K$44)/D10</f>
        <v>0.49652249999999998</v>
      </c>
      <c r="N44" s="68">
        <f>$G$37</f>
        <v>1462.5814702408366</v>
      </c>
      <c r="O44" s="104">
        <v>-2855</v>
      </c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5:C46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B1:Y124"/>
  <sheetViews>
    <sheetView showGridLines="0" topLeftCell="A25" zoomScaleNormal="100" workbookViewId="0">
      <selection activeCell="P39" sqref="P39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SUM('0120'!$K$43:$L$43)</f>
        <v>81892</v>
      </c>
      <c r="F9" s="42">
        <f>SUM(E9)/D9</f>
        <v>0.40945999999999999</v>
      </c>
      <c r="G9" s="10">
        <f>SUM('0120'!$N$43)</f>
        <v>979.58524674519174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400000</v>
      </c>
      <c r="E10" s="12">
        <f>SUM('0120'!$K$44:$L$44)</f>
        <v>198609</v>
      </c>
      <c r="F10" s="44">
        <f>SUM(E10)/D10</f>
        <v>0.49652249999999998</v>
      </c>
      <c r="G10" s="13">
        <f>SUM('0120'!$N$44)</f>
        <v>1462.5814702408366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 t="s">
        <v>49</v>
      </c>
      <c r="D16" s="37">
        <v>20000</v>
      </c>
      <c r="E16" s="37"/>
      <c r="F16" s="77">
        <f t="shared" ref="F16:F22" si="0">IF(D16="","",(SUM($G$9)))</f>
        <v>979.58524674519174</v>
      </c>
      <c r="G16" s="78">
        <f t="shared" ref="G16:G22" si="1">IF(D16="","",(SUM(E16)-F16))</f>
        <v>-979.58524674519174</v>
      </c>
      <c r="H16" s="79">
        <f t="shared" ref="H16:H22" si="2">IF(D16="","",(D16*G16))</f>
        <v>-19591704.934903834</v>
      </c>
      <c r="I16" s="17"/>
      <c r="J16" s="159" t="s">
        <v>22</v>
      </c>
      <c r="K16" s="36"/>
      <c r="L16" s="37"/>
      <c r="M16" s="37"/>
      <c r="N16" s="94" t="str">
        <f t="shared" ref="N16:N22" si="3">IF(L16="","",($G$10))</f>
        <v/>
      </c>
      <c r="O16" s="95" t="str">
        <f t="shared" ref="O16:O22" si="4">IF(L16="","",(SUM(M16)-N16))</f>
        <v/>
      </c>
      <c r="P16" s="96" t="str">
        <f t="shared" ref="P16:P22" si="5">IF(L16="","",(L16*O16))</f>
        <v/>
      </c>
    </row>
    <row r="17" spans="2:18" ht="24" customHeight="1">
      <c r="B17" s="158"/>
      <c r="C17" s="110" t="s">
        <v>51</v>
      </c>
      <c r="D17" s="16">
        <v>8000</v>
      </c>
      <c r="E17" s="16"/>
      <c r="F17" s="80">
        <f t="shared" si="0"/>
        <v>979.58524674519174</v>
      </c>
      <c r="G17" s="81">
        <f t="shared" si="1"/>
        <v>-979.58524674519174</v>
      </c>
      <c r="H17" s="82">
        <f t="shared" si="2"/>
        <v>-7836681.973961534</v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10"/>
      <c r="L18" s="16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110"/>
      <c r="L19" s="16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28000</v>
      </c>
      <c r="E23" s="75"/>
      <c r="F23" s="75"/>
      <c r="G23" s="75"/>
      <c r="H23" s="76">
        <f>SUM(H16:H22)</f>
        <v>-27428386.90886537</v>
      </c>
      <c r="I23" s="106"/>
      <c r="J23" s="89" t="s">
        <v>24</v>
      </c>
      <c r="K23" s="90"/>
      <c r="L23" s="91">
        <f>SUM(L16:L22)</f>
        <v>0</v>
      </c>
      <c r="M23" s="92"/>
      <c r="N23" s="92"/>
      <c r="O23" s="92"/>
      <c r="P23" s="93">
        <f>SUM(P16:P22)</f>
        <v>0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53892</v>
      </c>
      <c r="D29" s="177"/>
      <c r="E29" s="178">
        <f>$G$9</f>
        <v>979.58524674519174</v>
      </c>
      <c r="F29" s="178"/>
      <c r="G29" s="177">
        <f>C29*E29</f>
        <v>52791808.117591873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198609</v>
      </c>
      <c r="D30" s="174"/>
      <c r="E30" s="185">
        <f>$G$10</f>
        <v>1462.5814702408366</v>
      </c>
      <c r="F30" s="185"/>
      <c r="G30" s="174">
        <f>C30*E30</f>
        <v>290481843.22306234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53892</v>
      </c>
      <c r="D36" s="177"/>
      <c r="E36" s="177">
        <f>$G$29+$O$29</f>
        <v>52791808.117591873</v>
      </c>
      <c r="F36" s="177"/>
      <c r="G36" s="178">
        <f>E36/C36</f>
        <v>979.58524674519174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198609</v>
      </c>
      <c r="D37" s="174"/>
      <c r="E37" s="174">
        <f>$G$30+$O$30</f>
        <v>290481843.22306234</v>
      </c>
      <c r="F37" s="174"/>
      <c r="G37" s="185">
        <f>E37/C37</f>
        <v>1462.5814702408368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S42" s="2" t="s">
        <v>10</v>
      </c>
    </row>
    <row r="43" spans="2:25" ht="24" customHeight="1">
      <c r="B43" s="61" t="s">
        <v>40</v>
      </c>
      <c r="C43" s="227">
        <f>SUM($E$9)</f>
        <v>81892</v>
      </c>
      <c r="D43" s="228"/>
      <c r="E43" s="62"/>
      <c r="F43" s="229">
        <f>$K$29</f>
        <v>0</v>
      </c>
      <c r="G43" s="230"/>
      <c r="H43" s="230">
        <f>$D$23</f>
        <v>28000</v>
      </c>
      <c r="I43" s="230"/>
      <c r="J43" s="230"/>
      <c r="K43" s="231">
        <f>$C$43-$H$43+$F$43+$O$43</f>
        <v>53892</v>
      </c>
      <c r="L43" s="231"/>
      <c r="M43" s="63">
        <f>SUM($K$43)/$D$9</f>
        <v>0.26945999999999998</v>
      </c>
      <c r="N43" s="64">
        <f>$G$36</f>
        <v>979.58524674519174</v>
      </c>
      <c r="O43" s="103"/>
      <c r="P43" s="23"/>
      <c r="Q43" s="18"/>
    </row>
    <row r="44" spans="2:25" ht="24.75" customHeight="1">
      <c r="B44" s="65" t="s">
        <v>41</v>
      </c>
      <c r="C44" s="232">
        <f>SUM($E$10)</f>
        <v>198609</v>
      </c>
      <c r="D44" s="233"/>
      <c r="E44" s="66"/>
      <c r="F44" s="234">
        <f>$K$30</f>
        <v>0</v>
      </c>
      <c r="G44" s="235"/>
      <c r="H44" s="235">
        <f>$L$23</f>
        <v>0</v>
      </c>
      <c r="I44" s="235"/>
      <c r="J44" s="235"/>
      <c r="K44" s="236">
        <f>$C$44-$H$44+$F$44+$O$44</f>
        <v>198609</v>
      </c>
      <c r="L44" s="236"/>
      <c r="M44" s="67">
        <f>SUM($K$44)/D10</f>
        <v>0.49652249999999998</v>
      </c>
      <c r="N44" s="68">
        <f>$G$37</f>
        <v>1462.5814702408368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5:C46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B1:Y124"/>
  <sheetViews>
    <sheetView showGridLines="0" topLeftCell="A13" zoomScaleNormal="100" workbookViewId="0">
      <selection activeCell="E9" sqref="E9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SUM('0205'!$K$43:$L$43)</f>
        <v>53892</v>
      </c>
      <c r="F9" s="42">
        <f>SUM(E9)/D9</f>
        <v>0.26945999999999998</v>
      </c>
      <c r="G9" s="10">
        <f>SUM('0205'!$N$43)</f>
        <v>979.58524674519174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400000</v>
      </c>
      <c r="E10" s="12">
        <f>SUM('0205'!$K$44:$L$44)</f>
        <v>198609</v>
      </c>
      <c r="F10" s="44">
        <f>SUM(E10)/D10</f>
        <v>0.49652249999999998</v>
      </c>
      <c r="G10" s="13">
        <f>SUM('0205'!$N$44)</f>
        <v>1462.5814702408368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 t="s">
        <v>52</v>
      </c>
      <c r="D16" s="37">
        <v>2000</v>
      </c>
      <c r="E16" s="37"/>
      <c r="F16" s="77">
        <f t="shared" ref="F16:F22" si="0">IF(D16="","",(SUM($G$9)))</f>
        <v>979.58524674519174</v>
      </c>
      <c r="G16" s="78">
        <f t="shared" ref="G16:G22" si="1">IF(D16="","",(SUM(E16)-F16))</f>
        <v>-979.58524674519174</v>
      </c>
      <c r="H16" s="79">
        <f t="shared" ref="H16:H22" si="2">IF(D16="","",(D16*G16))</f>
        <v>-1959170.4934903835</v>
      </c>
      <c r="I16" s="17"/>
      <c r="J16" s="159" t="s">
        <v>22</v>
      </c>
      <c r="K16" s="36" t="s">
        <v>52</v>
      </c>
      <c r="L16" s="37">
        <v>16000</v>
      </c>
      <c r="M16" s="37"/>
      <c r="N16" s="94">
        <f t="shared" ref="N16:N22" si="3">IF(L16="","",($G$10))</f>
        <v>1462.5814702408368</v>
      </c>
      <c r="O16" s="95">
        <f t="shared" ref="O16:O22" si="4">IF(L16="","",(SUM(M16)-N16))</f>
        <v>-1462.5814702408368</v>
      </c>
      <c r="P16" s="96">
        <f t="shared" ref="P16:P22" si="5">IF(L16="","",(L16*O16))</f>
        <v>-23401303.523853388</v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10"/>
      <c r="L18" s="16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110"/>
      <c r="L19" s="16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2000</v>
      </c>
      <c r="E23" s="75"/>
      <c r="F23" s="75"/>
      <c r="G23" s="75"/>
      <c r="H23" s="76">
        <f>SUM(H16:H22)</f>
        <v>-1959170.4934903835</v>
      </c>
      <c r="I23" s="106"/>
      <c r="J23" s="89" t="s">
        <v>24</v>
      </c>
      <c r="K23" s="90"/>
      <c r="L23" s="91">
        <f>SUM(L16:L22)</f>
        <v>16000</v>
      </c>
      <c r="M23" s="92"/>
      <c r="N23" s="92"/>
      <c r="O23" s="92"/>
      <c r="P23" s="93">
        <f>SUM(P16:P22)</f>
        <v>-23401303.523853388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51892</v>
      </c>
      <c r="D29" s="177"/>
      <c r="E29" s="178">
        <f>$G$9</f>
        <v>979.58524674519174</v>
      </c>
      <c r="F29" s="178"/>
      <c r="G29" s="177">
        <f>C29*E29</f>
        <v>50832637.62410149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182609</v>
      </c>
      <c r="D30" s="174"/>
      <c r="E30" s="185">
        <f>$G$10</f>
        <v>1462.5814702408368</v>
      </c>
      <c r="F30" s="185"/>
      <c r="G30" s="174">
        <f>C30*E30</f>
        <v>267080539.69920897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51892</v>
      </c>
      <c r="D36" s="177"/>
      <c r="E36" s="177">
        <f>$G$29+$O$29</f>
        <v>50832637.62410149</v>
      </c>
      <c r="F36" s="177"/>
      <c r="G36" s="178">
        <f>E36/C36</f>
        <v>979.58524674519174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182609</v>
      </c>
      <c r="D37" s="174"/>
      <c r="E37" s="174">
        <f>$G$30+$O$30</f>
        <v>267080539.69920897</v>
      </c>
      <c r="F37" s="174"/>
      <c r="G37" s="185">
        <f>E37/C37</f>
        <v>1462.5814702408368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S42" s="2" t="s">
        <v>10</v>
      </c>
    </row>
    <row r="43" spans="2:25" ht="24" customHeight="1">
      <c r="B43" s="61" t="s">
        <v>40</v>
      </c>
      <c r="C43" s="227">
        <f>SUM($E$9)</f>
        <v>53892</v>
      </c>
      <c r="D43" s="228"/>
      <c r="E43" s="62"/>
      <c r="F43" s="229">
        <f>$K$29</f>
        <v>0</v>
      </c>
      <c r="G43" s="230"/>
      <c r="H43" s="230">
        <f>$D$23</f>
        <v>2000</v>
      </c>
      <c r="I43" s="230"/>
      <c r="J43" s="230"/>
      <c r="K43" s="231">
        <f>$C$43-$H$43+$F$43+$O$43</f>
        <v>51892</v>
      </c>
      <c r="L43" s="231"/>
      <c r="M43" s="63">
        <f>SUM($K$43)/$D$9</f>
        <v>0.25946000000000002</v>
      </c>
      <c r="N43" s="64">
        <f>$G$36</f>
        <v>979.58524674519174</v>
      </c>
      <c r="O43" s="103"/>
      <c r="P43" s="23"/>
      <c r="Q43" s="18"/>
    </row>
    <row r="44" spans="2:25" ht="24.75" customHeight="1">
      <c r="B44" s="65" t="s">
        <v>41</v>
      </c>
      <c r="C44" s="232">
        <f>SUM($E$10)</f>
        <v>198609</v>
      </c>
      <c r="D44" s="233"/>
      <c r="E44" s="66"/>
      <c r="F44" s="234">
        <f>$K$30</f>
        <v>0</v>
      </c>
      <c r="G44" s="235"/>
      <c r="H44" s="235">
        <f>$L$23</f>
        <v>16000</v>
      </c>
      <c r="I44" s="235"/>
      <c r="J44" s="235"/>
      <c r="K44" s="236">
        <f>$C$44-$H$44+$F$44+$O$44</f>
        <v>182609</v>
      </c>
      <c r="L44" s="236"/>
      <c r="M44" s="67">
        <f>SUM($K$44)/D10</f>
        <v>0.4565225</v>
      </c>
      <c r="N44" s="68">
        <f>$G$37</f>
        <v>1462.5814702408368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FF00"/>
    <pageSetUpPr fitToPage="1"/>
  </sheetPr>
  <dimension ref="B1:Y124"/>
  <sheetViews>
    <sheetView showGridLines="0" topLeftCell="A28" zoomScaleNormal="100" workbookViewId="0">
      <selection activeCell="M20" sqref="M20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 thickBo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 thickTop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SUM('0210'!$K$43:$L$43)</f>
        <v>51892</v>
      </c>
      <c r="F9" s="42">
        <f>SUM(E9)/D9</f>
        <v>0.25946000000000002</v>
      </c>
      <c r="G9" s="10">
        <f>SUM('0210'!$N$43)</f>
        <v>979.58524674519174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400000</v>
      </c>
      <c r="E10" s="12">
        <f>SUM('0210'!$K$44:$L$44)</f>
        <v>182609</v>
      </c>
      <c r="F10" s="44">
        <f>SUM(E10)/D10</f>
        <v>0.4565225</v>
      </c>
      <c r="G10" s="13">
        <f>SUM('0210'!$N$44)</f>
        <v>1462.5814702408368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36"/>
      <c r="L16" s="37"/>
      <c r="M16" s="37"/>
      <c r="N16" s="94" t="str">
        <f t="shared" ref="N16:N22" si="3">IF(L16="","",($G$10))</f>
        <v/>
      </c>
      <c r="O16" s="95" t="str">
        <f t="shared" ref="O16:O22" si="4">IF(L16="","",(SUM(M16)-N16))</f>
        <v/>
      </c>
      <c r="P16" s="96" t="str">
        <f t="shared" ref="P16:P22" si="5">IF(L16="","",(L16*O16))</f>
        <v/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10"/>
      <c r="L18" s="16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110"/>
      <c r="L19" s="16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0</v>
      </c>
      <c r="M23" s="92"/>
      <c r="N23" s="92"/>
      <c r="O23" s="92"/>
      <c r="P23" s="93">
        <f>SUM(P16:P22)</f>
        <v>0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51892</v>
      </c>
      <c r="D29" s="177"/>
      <c r="E29" s="178">
        <f>$G$9</f>
        <v>979.58524674519174</v>
      </c>
      <c r="F29" s="178"/>
      <c r="G29" s="177">
        <f>C29*E29</f>
        <v>50832637.62410149</v>
      </c>
      <c r="H29" s="179"/>
      <c r="I29" s="17"/>
      <c r="J29" s="49" t="s">
        <v>9</v>
      </c>
      <c r="K29" s="180">
        <v>28000</v>
      </c>
      <c r="L29" s="181"/>
      <c r="M29" s="182">
        <v>1019.5</v>
      </c>
      <c r="N29" s="183"/>
      <c r="O29" s="177">
        <f>K29*M29</f>
        <v>28546000</v>
      </c>
      <c r="P29" s="179"/>
      <c r="R29" s="18"/>
    </row>
    <row r="30" spans="2:18" ht="22.5" customHeight="1">
      <c r="B30" s="50" t="s">
        <v>11</v>
      </c>
      <c r="C30" s="184">
        <f>$E$10-$L$23</f>
        <v>182609</v>
      </c>
      <c r="D30" s="174"/>
      <c r="E30" s="185">
        <f>$G$10</f>
        <v>1462.5814702408368</v>
      </c>
      <c r="F30" s="185"/>
      <c r="G30" s="174">
        <f>C30*E30</f>
        <v>267080539.69920897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79892</v>
      </c>
      <c r="D36" s="177"/>
      <c r="E36" s="177">
        <f>$G$29+$O$29</f>
        <v>79378637.62410149</v>
      </c>
      <c r="F36" s="177"/>
      <c r="G36" s="178">
        <f>E36/C36</f>
        <v>993.57429560032904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182609</v>
      </c>
      <c r="D37" s="174"/>
      <c r="E37" s="174">
        <f>$G$30+$O$30</f>
        <v>267080539.69920897</v>
      </c>
      <c r="F37" s="174"/>
      <c r="G37" s="185">
        <f>E37/C37</f>
        <v>1462.5814702408368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S42" s="2" t="s">
        <v>10</v>
      </c>
    </row>
    <row r="43" spans="2:25" ht="24" customHeight="1">
      <c r="B43" s="61" t="s">
        <v>40</v>
      </c>
      <c r="C43" s="227">
        <f>SUM($E$9)</f>
        <v>51892</v>
      </c>
      <c r="D43" s="228"/>
      <c r="E43" s="62"/>
      <c r="F43" s="229">
        <f>$K$29</f>
        <v>28000</v>
      </c>
      <c r="G43" s="230"/>
      <c r="H43" s="230">
        <f>$D$23</f>
        <v>0</v>
      </c>
      <c r="I43" s="230"/>
      <c r="J43" s="230"/>
      <c r="K43" s="231">
        <f>$C$43-$H$43+$F$43+$O$43</f>
        <v>79892</v>
      </c>
      <c r="L43" s="231"/>
      <c r="M43" s="63">
        <f>SUM($K$43)/$D$9</f>
        <v>0.39945999999999998</v>
      </c>
      <c r="N43" s="64">
        <f>$G$36</f>
        <v>993.57429560032904</v>
      </c>
      <c r="O43" s="103"/>
      <c r="P43" s="23"/>
      <c r="Q43" s="18"/>
    </row>
    <row r="44" spans="2:25" ht="24.75" customHeight="1">
      <c r="B44" s="65" t="s">
        <v>41</v>
      </c>
      <c r="C44" s="232">
        <f>SUM($E$10)</f>
        <v>182609</v>
      </c>
      <c r="D44" s="233"/>
      <c r="E44" s="66"/>
      <c r="F44" s="234">
        <f>$K$30</f>
        <v>0</v>
      </c>
      <c r="G44" s="235"/>
      <c r="H44" s="235">
        <f>$L$23</f>
        <v>0</v>
      </c>
      <c r="I44" s="235"/>
      <c r="J44" s="235"/>
      <c r="K44" s="236">
        <f>$C$44-$H$44+$F$44+$O$44</f>
        <v>182609</v>
      </c>
      <c r="L44" s="236"/>
      <c r="M44" s="67">
        <f>SUM($K$44)/D10</f>
        <v>0.4565225</v>
      </c>
      <c r="N44" s="68">
        <f>$G$37</f>
        <v>1462.5814702408368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B1:Y124"/>
  <sheetViews>
    <sheetView showGridLines="0" topLeftCell="E26" zoomScaleNormal="100" workbookViewId="0">
      <selection activeCell="O44" sqref="O44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SUM('0210 (입고)'!$K$43:$L$43)</f>
        <v>79892</v>
      </c>
      <c r="F9" s="42">
        <f>SUM(E9)/D9</f>
        <v>0.39945999999999998</v>
      </c>
      <c r="G9" s="10">
        <f>SUM('0210 (입고)'!$N$43)</f>
        <v>993.57429560032904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400000</v>
      </c>
      <c r="E10" s="12">
        <f>SUM('0210 (입고)'!$K$44:$L$44)</f>
        <v>182609</v>
      </c>
      <c r="F10" s="44">
        <f>SUM(E10)/D10</f>
        <v>0.4565225</v>
      </c>
      <c r="G10" s="13">
        <f>SUM('0210 (입고)'!$N$44)</f>
        <v>1462.5814702408368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 t="s">
        <v>53</v>
      </c>
      <c r="D16" s="37">
        <v>32000</v>
      </c>
      <c r="E16" s="37"/>
      <c r="F16" s="77">
        <f t="shared" ref="F16:F22" si="0">IF(D16="","",(SUM($G$9)))</f>
        <v>993.57429560032904</v>
      </c>
      <c r="G16" s="78">
        <f t="shared" ref="G16:G22" si="1">IF(D16="","",(SUM(E16)-F16))</f>
        <v>-993.57429560032904</v>
      </c>
      <c r="H16" s="79">
        <f t="shared" ref="H16:H22" si="2">IF(D16="","",(D16*G16))</f>
        <v>-31794377.45921053</v>
      </c>
      <c r="I16" s="17"/>
      <c r="J16" s="159" t="s">
        <v>22</v>
      </c>
      <c r="K16" s="36" t="s">
        <v>54</v>
      </c>
      <c r="L16" s="37">
        <v>24000</v>
      </c>
      <c r="M16" s="37"/>
      <c r="N16" s="94">
        <f t="shared" ref="N16:N22" si="3">IF(L16="","",($G$10))</f>
        <v>1462.5814702408368</v>
      </c>
      <c r="O16" s="95">
        <f t="shared" ref="O16:O22" si="4">IF(L16="","",(SUM(M16)-N16))</f>
        <v>-1462.5814702408368</v>
      </c>
      <c r="P16" s="96">
        <f t="shared" ref="P16:P22" si="5">IF(L16="","",(L16*O16))</f>
        <v>-35101955.28578008</v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10"/>
      <c r="L18" s="16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110"/>
      <c r="L19" s="16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32000</v>
      </c>
      <c r="E23" s="75"/>
      <c r="F23" s="75"/>
      <c r="G23" s="75"/>
      <c r="H23" s="76">
        <f>SUM(H16:H22)</f>
        <v>-31794377.45921053</v>
      </c>
      <c r="I23" s="106"/>
      <c r="J23" s="89" t="s">
        <v>24</v>
      </c>
      <c r="K23" s="90"/>
      <c r="L23" s="91">
        <f>SUM(L16:L22)</f>
        <v>24000</v>
      </c>
      <c r="M23" s="92"/>
      <c r="N23" s="92"/>
      <c r="O23" s="92"/>
      <c r="P23" s="93">
        <f>SUM(P16:P22)</f>
        <v>-35101955.28578008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47892</v>
      </c>
      <c r="D29" s="177"/>
      <c r="E29" s="178">
        <f>$G$9</f>
        <v>993.57429560032904</v>
      </c>
      <c r="F29" s="178"/>
      <c r="G29" s="177">
        <f>C29*E29</f>
        <v>47584260.16489096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158609</v>
      </c>
      <c r="D30" s="174"/>
      <c r="E30" s="185">
        <f>$G$10</f>
        <v>1462.5814702408368</v>
      </c>
      <c r="F30" s="185"/>
      <c r="G30" s="174">
        <f>C30*E30</f>
        <v>231978584.41342887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47892</v>
      </c>
      <c r="D36" s="177"/>
      <c r="E36" s="177">
        <f>$G$29+$O$29</f>
        <v>47584260.16489096</v>
      </c>
      <c r="F36" s="177"/>
      <c r="G36" s="178">
        <f>E36/C36</f>
        <v>993.57429560032904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158609</v>
      </c>
      <c r="D37" s="174"/>
      <c r="E37" s="174">
        <f>$G$30+$O$30</f>
        <v>231978584.41342887</v>
      </c>
      <c r="F37" s="174"/>
      <c r="G37" s="185">
        <f>E37/C37</f>
        <v>1462.5814702408368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S42" s="2" t="s">
        <v>10</v>
      </c>
    </row>
    <row r="43" spans="2:25" ht="24" customHeight="1">
      <c r="B43" s="61" t="s">
        <v>40</v>
      </c>
      <c r="C43" s="227">
        <f>SUM($E$9)</f>
        <v>79892</v>
      </c>
      <c r="D43" s="228"/>
      <c r="E43" s="62"/>
      <c r="F43" s="229">
        <f>$K$29</f>
        <v>0</v>
      </c>
      <c r="G43" s="230"/>
      <c r="H43" s="230">
        <f>$D$23</f>
        <v>32000</v>
      </c>
      <c r="I43" s="230"/>
      <c r="J43" s="230"/>
      <c r="K43" s="231">
        <f>$C$43-$H$43+$F$43+$O$43</f>
        <v>44405</v>
      </c>
      <c r="L43" s="231"/>
      <c r="M43" s="63">
        <f>SUM($K$43)/$D$9</f>
        <v>0.222025</v>
      </c>
      <c r="N43" s="64">
        <f>$G$36</f>
        <v>993.57429560032904</v>
      </c>
      <c r="O43" s="103">
        <v>-3487</v>
      </c>
      <c r="P43" s="23"/>
      <c r="Q43" s="18"/>
    </row>
    <row r="44" spans="2:25" ht="24.75" customHeight="1">
      <c r="B44" s="65" t="s">
        <v>41</v>
      </c>
      <c r="C44" s="232">
        <f>SUM($E$10)</f>
        <v>182609</v>
      </c>
      <c r="D44" s="233"/>
      <c r="E44" s="66"/>
      <c r="F44" s="234">
        <f>$K$30</f>
        <v>0</v>
      </c>
      <c r="G44" s="235"/>
      <c r="H44" s="235">
        <f>$L$23</f>
        <v>24000</v>
      </c>
      <c r="I44" s="235"/>
      <c r="J44" s="235"/>
      <c r="K44" s="236">
        <f>$C$44-$H$44+$F$44+$O$44</f>
        <v>154931</v>
      </c>
      <c r="L44" s="236"/>
      <c r="M44" s="67">
        <f>SUM($K$44)/D10</f>
        <v>0.38732749999999999</v>
      </c>
      <c r="N44" s="68">
        <f>$G$37</f>
        <v>1462.5814702408368</v>
      </c>
      <c r="O44" s="104">
        <v>-3678</v>
      </c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FF00"/>
    <pageSetUpPr fitToPage="1"/>
  </sheetPr>
  <dimension ref="B1:Y124"/>
  <sheetViews>
    <sheetView showGridLines="0" topLeftCell="E25" zoomScaleNormal="100" workbookViewId="0">
      <selection activeCell="O43" sqref="O43:O44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 thickBo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 thickTop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SUM('0212'!$K$43:$L$43)</f>
        <v>44405</v>
      </c>
      <c r="F9" s="42">
        <f>SUM(E9)/D9</f>
        <v>0.222025</v>
      </c>
      <c r="G9" s="10">
        <f>SUM('0212'!$N$43)</f>
        <v>993.57429560032904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400000</v>
      </c>
      <c r="E10" s="12">
        <f>SUM('0212'!$K$44:$L$44)</f>
        <v>154931</v>
      </c>
      <c r="F10" s="44">
        <f>SUM(E10)/D10</f>
        <v>0.38732749999999999</v>
      </c>
      <c r="G10" s="13">
        <f>SUM('0212'!$N$44)</f>
        <v>1462.5814702408368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36"/>
      <c r="L16" s="37"/>
      <c r="M16" s="37"/>
      <c r="N16" s="94" t="str">
        <f t="shared" ref="N16:N22" si="3">IF(L16="","",($G$10))</f>
        <v/>
      </c>
      <c r="O16" s="95" t="str">
        <f t="shared" ref="O16:O22" si="4">IF(L16="","",(SUM(M16)-N16))</f>
        <v/>
      </c>
      <c r="P16" s="96" t="str">
        <f t="shared" ref="P16:P22" si="5">IF(L16="","",(L16*O16))</f>
        <v/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10"/>
      <c r="L18" s="16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110"/>
      <c r="L19" s="16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0</v>
      </c>
      <c r="M23" s="92"/>
      <c r="N23" s="92"/>
      <c r="O23" s="92"/>
      <c r="P23" s="93">
        <f>SUM(P16:P22)</f>
        <v>0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44405</v>
      </c>
      <c r="D29" s="177"/>
      <c r="E29" s="178">
        <f>$G$9</f>
        <v>993.57429560032904</v>
      </c>
      <c r="F29" s="178"/>
      <c r="G29" s="177">
        <f>C29*E29</f>
        <v>44119666.596132614</v>
      </c>
      <c r="H29" s="179"/>
      <c r="I29" s="17"/>
      <c r="J29" s="49" t="s">
        <v>9</v>
      </c>
      <c r="K29" s="180">
        <v>32000</v>
      </c>
      <c r="L29" s="181"/>
      <c r="M29" s="182">
        <v>1019.5</v>
      </c>
      <c r="N29" s="183"/>
      <c r="O29" s="177">
        <f>K29*M29</f>
        <v>32624000</v>
      </c>
      <c r="P29" s="179"/>
      <c r="R29" s="18"/>
    </row>
    <row r="30" spans="2:18" ht="22.5" customHeight="1">
      <c r="B30" s="50" t="s">
        <v>11</v>
      </c>
      <c r="C30" s="184">
        <f>$E$10-$L$23</f>
        <v>154931</v>
      </c>
      <c r="D30" s="174"/>
      <c r="E30" s="185">
        <f>$G$10</f>
        <v>1462.5814702408368</v>
      </c>
      <c r="F30" s="185"/>
      <c r="G30" s="174">
        <f>C30*E30</f>
        <v>226599209.76588309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76405</v>
      </c>
      <c r="D36" s="177"/>
      <c r="E36" s="177">
        <f>$G$29+$O$29</f>
        <v>76743666.596132606</v>
      </c>
      <c r="F36" s="177"/>
      <c r="G36" s="178">
        <f>E36/C36</f>
        <v>1004.4325187635967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154931</v>
      </c>
      <c r="D37" s="174"/>
      <c r="E37" s="174">
        <f>$G$30+$O$30</f>
        <v>226599209.76588309</v>
      </c>
      <c r="F37" s="174"/>
      <c r="G37" s="185">
        <f>E37/C37</f>
        <v>1462.5814702408368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S42" s="2" t="s">
        <v>10</v>
      </c>
    </row>
    <row r="43" spans="2:25" ht="24" customHeight="1">
      <c r="B43" s="61" t="s">
        <v>40</v>
      </c>
      <c r="C43" s="227">
        <f>SUM($E$9)</f>
        <v>44405</v>
      </c>
      <c r="D43" s="228"/>
      <c r="E43" s="62"/>
      <c r="F43" s="229">
        <f>$K$29</f>
        <v>32000</v>
      </c>
      <c r="G43" s="230"/>
      <c r="H43" s="230">
        <f>$D$23</f>
        <v>0</v>
      </c>
      <c r="I43" s="230"/>
      <c r="J43" s="230"/>
      <c r="K43" s="231">
        <f>$C$43-$H$43+$F$43+$O$43</f>
        <v>76405</v>
      </c>
      <c r="L43" s="231"/>
      <c r="M43" s="63">
        <f>SUM($K$43)/$D$9</f>
        <v>0.382025</v>
      </c>
      <c r="N43" s="64">
        <f>$G$36</f>
        <v>1004.4325187635967</v>
      </c>
      <c r="O43" s="103"/>
      <c r="P43" s="23"/>
      <c r="Q43" s="18"/>
    </row>
    <row r="44" spans="2:25" ht="24.75" customHeight="1">
      <c r="B44" s="65" t="s">
        <v>41</v>
      </c>
      <c r="C44" s="232">
        <f>SUM($E$10)</f>
        <v>154931</v>
      </c>
      <c r="D44" s="233"/>
      <c r="E44" s="66"/>
      <c r="F44" s="234">
        <f>$K$30</f>
        <v>0</v>
      </c>
      <c r="G44" s="235"/>
      <c r="H44" s="235">
        <f>$L$23</f>
        <v>0</v>
      </c>
      <c r="I44" s="235"/>
      <c r="J44" s="235"/>
      <c r="K44" s="236">
        <f>$C$44-$H$44+$F$44+$O$44</f>
        <v>154931</v>
      </c>
      <c r="L44" s="236"/>
      <c r="M44" s="67">
        <f>SUM($K$44)/D10</f>
        <v>0.38732749999999999</v>
      </c>
      <c r="N44" s="68">
        <f>$G$37</f>
        <v>1462.5814702408368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B1:Y124"/>
  <sheetViews>
    <sheetView showGridLines="0" topLeftCell="A25" zoomScaleNormal="100" workbookViewId="0">
      <selection activeCell="N35" sqref="N35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SUM('0212 (입고)'!$K$43:$L$43)</f>
        <v>76405</v>
      </c>
      <c r="F9" s="42">
        <f>SUM(E9)/D9</f>
        <v>0.382025</v>
      </c>
      <c r="G9" s="10">
        <f>SUM('0212 (입고)'!$N$43)</f>
        <v>1004.4325187635967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400000</v>
      </c>
      <c r="E10" s="12">
        <f>SUM('0212 (입고)'!$K$44:$L$44)</f>
        <v>154931</v>
      </c>
      <c r="F10" s="44">
        <f>SUM(E10)/D10</f>
        <v>0.38732749999999999</v>
      </c>
      <c r="G10" s="13">
        <f>SUM('0212 (입고)'!$N$44)</f>
        <v>1462.5814702408368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36"/>
      <c r="L16" s="37"/>
      <c r="M16" s="37"/>
      <c r="N16" s="94" t="str">
        <f t="shared" ref="N16:N22" si="3">IF(L16="","",($G$10))</f>
        <v/>
      </c>
      <c r="O16" s="95" t="str">
        <f t="shared" ref="O16:O22" si="4">IF(L16="","",(SUM(M16)-N16))</f>
        <v/>
      </c>
      <c r="P16" s="96" t="str">
        <f t="shared" ref="P16:P22" si="5">IF(L16="","",(L16*O16))</f>
        <v/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10"/>
      <c r="L18" s="16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110"/>
      <c r="L19" s="16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0</v>
      </c>
      <c r="M23" s="92"/>
      <c r="N23" s="92"/>
      <c r="O23" s="92"/>
      <c r="P23" s="93">
        <f>SUM(P16:P22)</f>
        <v>0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76405</v>
      </c>
      <c r="D29" s="177"/>
      <c r="E29" s="178">
        <f>$G$9</f>
        <v>1004.4325187635967</v>
      </c>
      <c r="F29" s="178"/>
      <c r="G29" s="177">
        <f>C29*E29</f>
        <v>76743666.596132606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154931</v>
      </c>
      <c r="D30" s="174"/>
      <c r="E30" s="185">
        <f>$G$10</f>
        <v>1462.5814702408368</v>
      </c>
      <c r="F30" s="185"/>
      <c r="G30" s="174">
        <f>C30*E30</f>
        <v>226599209.76588309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76405</v>
      </c>
      <c r="D36" s="177"/>
      <c r="E36" s="177">
        <f>$G$29+$O$29</f>
        <v>76743666.596132606</v>
      </c>
      <c r="F36" s="177"/>
      <c r="G36" s="178">
        <f>E36/C36</f>
        <v>1004.4325187635967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154931</v>
      </c>
      <c r="D37" s="174"/>
      <c r="E37" s="174">
        <f>$G$30+$O$30</f>
        <v>226599209.76588309</v>
      </c>
      <c r="F37" s="174"/>
      <c r="G37" s="185">
        <f>E37/C37</f>
        <v>1462.5814702408368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S42" s="2" t="s">
        <v>10</v>
      </c>
    </row>
    <row r="43" spans="2:25" ht="24" customHeight="1">
      <c r="B43" s="61" t="s">
        <v>40</v>
      </c>
      <c r="C43" s="227">
        <f>SUM($E$9)</f>
        <v>76405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76405</v>
      </c>
      <c r="L43" s="231"/>
      <c r="M43" s="63">
        <f>SUM($K$43)/$D$9</f>
        <v>0.382025</v>
      </c>
      <c r="N43" s="64">
        <f>$G$36</f>
        <v>1004.4325187635967</v>
      </c>
      <c r="O43" s="103"/>
      <c r="P43" s="23"/>
      <c r="Q43" s="18"/>
    </row>
    <row r="44" spans="2:25" ht="24.75" customHeight="1">
      <c r="B44" s="65" t="s">
        <v>41</v>
      </c>
      <c r="C44" s="232">
        <f>SUM($E$10)</f>
        <v>154931</v>
      </c>
      <c r="D44" s="233"/>
      <c r="E44" s="66"/>
      <c r="F44" s="234">
        <f>$K$30</f>
        <v>0</v>
      </c>
      <c r="G44" s="235"/>
      <c r="H44" s="235">
        <f>$L$23</f>
        <v>0</v>
      </c>
      <c r="I44" s="235"/>
      <c r="J44" s="235"/>
      <c r="K44" s="236">
        <f>$C$44-$H$44+$F$44+$O$44</f>
        <v>154931</v>
      </c>
      <c r="L44" s="236"/>
      <c r="M44" s="67">
        <f>SUM($K$44)/D10</f>
        <v>0.38732749999999999</v>
      </c>
      <c r="N44" s="68">
        <f>$G$37</f>
        <v>1462.5814702408368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5:C46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FF00"/>
    <pageSetUpPr fitToPage="1"/>
  </sheetPr>
  <dimension ref="B1:Y124"/>
  <sheetViews>
    <sheetView showGridLines="0" topLeftCell="A25" zoomScaleNormal="100" workbookViewId="0">
      <selection activeCell="G45" sqref="G45:O45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 thickBo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 thickTop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SUM('0213'!$K$43:$L$43)</f>
        <v>76405</v>
      </c>
      <c r="F9" s="42">
        <f>SUM(E9)/D9</f>
        <v>0.382025</v>
      </c>
      <c r="G9" s="10">
        <f>SUM('0213'!$N$43)</f>
        <v>1004.4325187635967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400000</v>
      </c>
      <c r="E10" s="12">
        <f>SUM('0213'!$K$44:$L$44)</f>
        <v>154931</v>
      </c>
      <c r="F10" s="44">
        <f>SUM(E10)/D10</f>
        <v>0.38732749999999999</v>
      </c>
      <c r="G10" s="13">
        <f>SUM('0213'!$N$44)</f>
        <v>1462.5814702408368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36"/>
      <c r="L16" s="37"/>
      <c r="M16" s="37"/>
      <c r="N16" s="94" t="str">
        <f t="shared" ref="N16:N22" si="3">IF(L16="","",($G$10))</f>
        <v/>
      </c>
      <c r="O16" s="95" t="str">
        <f t="shared" ref="O16:O22" si="4">IF(L16="","",(SUM(M16)-N16))</f>
        <v/>
      </c>
      <c r="P16" s="96" t="str">
        <f t="shared" ref="P16:P22" si="5">IF(L16="","",(L16*O16))</f>
        <v/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10"/>
      <c r="L18" s="16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110"/>
      <c r="L19" s="16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0</v>
      </c>
      <c r="M23" s="92"/>
      <c r="N23" s="92"/>
      <c r="O23" s="92"/>
      <c r="P23" s="93">
        <f>SUM(P16:P22)</f>
        <v>0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76405</v>
      </c>
      <c r="D29" s="177"/>
      <c r="E29" s="178">
        <f>$G$9</f>
        <v>1004.4325187635967</v>
      </c>
      <c r="F29" s="178"/>
      <c r="G29" s="177">
        <f>C29*E29</f>
        <v>76743666.596132606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154931</v>
      </c>
      <c r="D30" s="174"/>
      <c r="E30" s="185">
        <f>$G$10</f>
        <v>1462.5814702408368</v>
      </c>
      <c r="F30" s="185"/>
      <c r="G30" s="174">
        <f>C30*E30</f>
        <v>226599209.76588309</v>
      </c>
      <c r="H30" s="175"/>
      <c r="I30" s="17"/>
      <c r="J30" s="50" t="s">
        <v>11</v>
      </c>
      <c r="K30" s="186">
        <v>32000</v>
      </c>
      <c r="L30" s="187"/>
      <c r="M30" s="188">
        <v>1526.1</v>
      </c>
      <c r="N30" s="189"/>
      <c r="O30" s="174">
        <f>K30*M30</f>
        <v>48835200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76405</v>
      </c>
      <c r="D36" s="177"/>
      <c r="E36" s="177">
        <f>$G$29+$O$29</f>
        <v>76743666.596132606</v>
      </c>
      <c r="F36" s="177"/>
      <c r="G36" s="178">
        <f>E36/C36</f>
        <v>1004.4325187635967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186931</v>
      </c>
      <c r="D37" s="174"/>
      <c r="E37" s="174">
        <f>$G$30+$O$30</f>
        <v>275434409.76588309</v>
      </c>
      <c r="F37" s="174"/>
      <c r="G37" s="185">
        <f>E37/C37</f>
        <v>1473.4549634136824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S42" s="2" t="s">
        <v>10</v>
      </c>
    </row>
    <row r="43" spans="2:25" ht="24" customHeight="1">
      <c r="B43" s="61" t="s">
        <v>40</v>
      </c>
      <c r="C43" s="227">
        <f>SUM($E$9)</f>
        <v>76405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76405</v>
      </c>
      <c r="L43" s="231"/>
      <c r="M43" s="63">
        <f>SUM($K$43)/$D$9</f>
        <v>0.382025</v>
      </c>
      <c r="N43" s="64">
        <f>$G$36</f>
        <v>1004.4325187635967</v>
      </c>
      <c r="O43" s="103"/>
      <c r="P43" s="23"/>
      <c r="Q43" s="18"/>
    </row>
    <row r="44" spans="2:25" ht="24.75" customHeight="1">
      <c r="B44" s="65" t="s">
        <v>41</v>
      </c>
      <c r="C44" s="232">
        <f>SUM($E$10)</f>
        <v>154931</v>
      </c>
      <c r="D44" s="233"/>
      <c r="E44" s="66"/>
      <c r="F44" s="234">
        <f>$K$30</f>
        <v>32000</v>
      </c>
      <c r="G44" s="235"/>
      <c r="H44" s="235">
        <f>$L$23</f>
        <v>0</v>
      </c>
      <c r="I44" s="235"/>
      <c r="J44" s="235"/>
      <c r="K44" s="236">
        <f>$C$44-$H$44+$F$44+$O$44</f>
        <v>186931</v>
      </c>
      <c r="L44" s="236"/>
      <c r="M44" s="67">
        <f>SUM($K$44)/D10</f>
        <v>0.46732750000000001</v>
      </c>
      <c r="N44" s="68">
        <f>$G$37</f>
        <v>1473.4549634136824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FF00"/>
    <pageSetUpPr fitToPage="1"/>
  </sheetPr>
  <dimension ref="B1:Y124"/>
  <sheetViews>
    <sheetView showGridLines="0" topLeftCell="A25" zoomScaleNormal="100" workbookViewId="0">
      <selection activeCell="P24" sqref="P24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SUM('0213 (입고)'!$K$43:$L$43)</f>
        <v>76405</v>
      </c>
      <c r="F9" s="42">
        <f>SUM(E9)/D9</f>
        <v>0.382025</v>
      </c>
      <c r="G9" s="10">
        <f>SUM('0213 (입고)'!$N$43)</f>
        <v>1004.4325187635967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400000</v>
      </c>
      <c r="E10" s="12">
        <f>SUM('0213 (입고)'!$K$44:$L$44)</f>
        <v>186931</v>
      </c>
      <c r="F10" s="44">
        <f>SUM(E10)/D10</f>
        <v>0.46732750000000001</v>
      </c>
      <c r="G10" s="13">
        <f>SUM('0213 (입고)'!$N$44)</f>
        <v>1473.4549634136824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36"/>
      <c r="L16" s="37"/>
      <c r="M16" s="37"/>
      <c r="N16" s="94" t="str">
        <f t="shared" ref="N16:N22" si="3">IF(L16="","",($G$10))</f>
        <v/>
      </c>
      <c r="O16" s="95" t="str">
        <f t="shared" ref="O16:O22" si="4">IF(L16="","",(SUM(M16)-N16))</f>
        <v/>
      </c>
      <c r="P16" s="96" t="str">
        <f t="shared" ref="P16:P22" si="5">IF(L16="","",(L16*O16))</f>
        <v/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10"/>
      <c r="L18" s="16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110"/>
      <c r="L19" s="16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0</v>
      </c>
      <c r="M23" s="92"/>
      <c r="N23" s="92"/>
      <c r="O23" s="92"/>
      <c r="P23" s="93">
        <f>SUM(P16:P22)</f>
        <v>0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76405</v>
      </c>
      <c r="D29" s="177"/>
      <c r="E29" s="178">
        <f>$G$9</f>
        <v>1004.4325187635967</v>
      </c>
      <c r="F29" s="178"/>
      <c r="G29" s="177">
        <f>C29*E29</f>
        <v>76743666.596132606</v>
      </c>
      <c r="H29" s="179"/>
      <c r="I29" s="17"/>
      <c r="J29" s="49" t="s">
        <v>9</v>
      </c>
      <c r="K29" s="180">
        <v>32000</v>
      </c>
      <c r="L29" s="181"/>
      <c r="M29" s="182">
        <v>1019.5</v>
      </c>
      <c r="N29" s="183"/>
      <c r="O29" s="177">
        <f>K29*M29</f>
        <v>32624000</v>
      </c>
      <c r="P29" s="179"/>
      <c r="R29" s="18"/>
    </row>
    <row r="30" spans="2:18" ht="22.5" customHeight="1">
      <c r="B30" s="50" t="s">
        <v>11</v>
      </c>
      <c r="C30" s="184">
        <f>$E$10-$L$23</f>
        <v>186931</v>
      </c>
      <c r="D30" s="174"/>
      <c r="E30" s="185">
        <f>$G$10</f>
        <v>1473.4549634136824</v>
      </c>
      <c r="F30" s="185"/>
      <c r="G30" s="174">
        <f>C30*E30</f>
        <v>275434409.76588309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108405</v>
      </c>
      <c r="D36" s="177"/>
      <c r="E36" s="177">
        <f>$G$29+$O$29</f>
        <v>109367666.59613261</v>
      </c>
      <c r="F36" s="177"/>
      <c r="G36" s="178">
        <f>E36/C36</f>
        <v>1008.8802785492607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186931</v>
      </c>
      <c r="D37" s="174"/>
      <c r="E37" s="174">
        <f>$G$30+$O$30</f>
        <v>275434409.76588309</v>
      </c>
      <c r="F37" s="174"/>
      <c r="G37" s="185">
        <f>E37/C37</f>
        <v>1473.4549634136824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S42" s="2" t="s">
        <v>10</v>
      </c>
    </row>
    <row r="43" spans="2:25" ht="24" customHeight="1">
      <c r="B43" s="61" t="s">
        <v>40</v>
      </c>
      <c r="C43" s="227">
        <f>SUM($E$9)</f>
        <v>76405</v>
      </c>
      <c r="D43" s="228"/>
      <c r="E43" s="62"/>
      <c r="F43" s="229">
        <f>$K$29</f>
        <v>32000</v>
      </c>
      <c r="G43" s="230"/>
      <c r="H43" s="230">
        <f>$D$23</f>
        <v>0</v>
      </c>
      <c r="I43" s="230"/>
      <c r="J43" s="230"/>
      <c r="K43" s="231">
        <f>$C$43-$H$43+$F$43+$O$43</f>
        <v>108405</v>
      </c>
      <c r="L43" s="231"/>
      <c r="M43" s="63">
        <f>SUM($K$43)/$D$9</f>
        <v>0.54202499999999998</v>
      </c>
      <c r="N43" s="64">
        <f>$G$36</f>
        <v>1008.8802785492607</v>
      </c>
      <c r="O43" s="103"/>
      <c r="P43" s="23"/>
      <c r="Q43" s="18"/>
    </row>
    <row r="44" spans="2:25" ht="24.75" customHeight="1">
      <c r="B44" s="65" t="s">
        <v>41</v>
      </c>
      <c r="C44" s="232">
        <f>SUM($E$10)</f>
        <v>186931</v>
      </c>
      <c r="D44" s="233"/>
      <c r="E44" s="66"/>
      <c r="F44" s="234">
        <f>$K$30</f>
        <v>0</v>
      </c>
      <c r="G44" s="235"/>
      <c r="H44" s="235">
        <f>$L$23</f>
        <v>0</v>
      </c>
      <c r="I44" s="235"/>
      <c r="J44" s="235"/>
      <c r="K44" s="236">
        <f>$C$44-$H$44+$F$44+$O$44</f>
        <v>186931</v>
      </c>
      <c r="L44" s="236"/>
      <c r="M44" s="67">
        <f>SUM($K$44)/D10</f>
        <v>0.46732750000000001</v>
      </c>
      <c r="N44" s="68">
        <f>$G$37</f>
        <v>1473.4549634136824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5:C46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B1:Y124"/>
  <sheetViews>
    <sheetView showGridLines="0" topLeftCell="A28" zoomScaleNormal="100" workbookViewId="0">
      <selection activeCell="H11" sqref="H11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SUM('0214 (입고)'!$K$43:$L$43)</f>
        <v>108405</v>
      </c>
      <c r="F9" s="42">
        <f>SUM(E9)/D9</f>
        <v>0.54202499999999998</v>
      </c>
      <c r="G9" s="10">
        <f>SUM('0214 (입고)'!$N$43)</f>
        <v>1008.8802785492607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400000</v>
      </c>
      <c r="E10" s="12">
        <f>SUM('0214 (입고)'!$K$44:$L$44)</f>
        <v>186931</v>
      </c>
      <c r="F10" s="44">
        <f>SUM(E10)/D10</f>
        <v>0.46732750000000001</v>
      </c>
      <c r="G10" s="13">
        <f>SUM('0214 (입고)'!$N$44)</f>
        <v>1473.4549634136824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36" t="s">
        <v>43</v>
      </c>
      <c r="L16" s="37">
        <v>3000</v>
      </c>
      <c r="M16" s="37"/>
      <c r="N16" s="94">
        <f t="shared" ref="N16:N22" si="3">IF(L16="","",($G$10))</f>
        <v>1473.4549634136824</v>
      </c>
      <c r="O16" s="95">
        <f t="shared" ref="O16:O22" si="4">IF(L16="","",(SUM(M16)-N16))</f>
        <v>-1473.4549634136824</v>
      </c>
      <c r="P16" s="96">
        <f t="shared" ref="P16:P22" si="5">IF(L16="","",(L16*O16))</f>
        <v>-4420364.8902410474</v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10"/>
      <c r="L18" s="16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110"/>
      <c r="L19" s="16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3000</v>
      </c>
      <c r="M23" s="92"/>
      <c r="N23" s="92"/>
      <c r="O23" s="92"/>
      <c r="P23" s="93">
        <f>SUM(P16:P22)</f>
        <v>-4420364.8902410474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108405</v>
      </c>
      <c r="D29" s="177"/>
      <c r="E29" s="178">
        <f>$G$9</f>
        <v>1008.8802785492607</v>
      </c>
      <c r="F29" s="178"/>
      <c r="G29" s="177">
        <f>C29*E29</f>
        <v>109367666.59613261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183931</v>
      </c>
      <c r="D30" s="174"/>
      <c r="E30" s="185">
        <f>$G$10</f>
        <v>1473.4549634136824</v>
      </c>
      <c r="F30" s="185"/>
      <c r="G30" s="174">
        <f>C30*E30</f>
        <v>271014044.875642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108405</v>
      </c>
      <c r="D36" s="177"/>
      <c r="E36" s="177">
        <f>$G$29+$O$29</f>
        <v>109367666.59613261</v>
      </c>
      <c r="F36" s="177"/>
      <c r="G36" s="178">
        <f>E36/C36</f>
        <v>1008.8802785492607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183931</v>
      </c>
      <c r="D37" s="174"/>
      <c r="E37" s="174">
        <f>$G$30+$O$30</f>
        <v>271014044.875642</v>
      </c>
      <c r="F37" s="174"/>
      <c r="G37" s="185">
        <f>E37/C37</f>
        <v>1473.4549634136822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S42" s="2" t="s">
        <v>10</v>
      </c>
    </row>
    <row r="43" spans="2:25" ht="24" customHeight="1">
      <c r="B43" s="61" t="s">
        <v>40</v>
      </c>
      <c r="C43" s="227">
        <f>SUM($E$9)</f>
        <v>108405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108405</v>
      </c>
      <c r="L43" s="231"/>
      <c r="M43" s="63">
        <f>SUM($K$43)/$D$9</f>
        <v>0.54202499999999998</v>
      </c>
      <c r="N43" s="64">
        <f>$G$36</f>
        <v>1008.8802785492607</v>
      </c>
      <c r="O43" s="103"/>
      <c r="P43" s="23"/>
      <c r="Q43" s="18"/>
    </row>
    <row r="44" spans="2:25" ht="24.75" customHeight="1">
      <c r="B44" s="65" t="s">
        <v>41</v>
      </c>
      <c r="C44" s="232">
        <f>SUM($E$10)</f>
        <v>186931</v>
      </c>
      <c r="D44" s="233"/>
      <c r="E44" s="66"/>
      <c r="F44" s="234">
        <f>$K$30</f>
        <v>0</v>
      </c>
      <c r="G44" s="235"/>
      <c r="H44" s="235">
        <f>$L$23</f>
        <v>3000</v>
      </c>
      <c r="I44" s="235"/>
      <c r="J44" s="235"/>
      <c r="K44" s="236">
        <f>$C$44-$H$44+$F$44+$O$44</f>
        <v>183931</v>
      </c>
      <c r="L44" s="236"/>
      <c r="M44" s="67">
        <f>SUM($K$44)/D10</f>
        <v>0.4598275</v>
      </c>
      <c r="N44" s="68">
        <f>$G$37</f>
        <v>1473.4549634136822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B1:Y124"/>
  <sheetViews>
    <sheetView showGridLines="0" topLeftCell="A25" zoomScaleNormal="100" workbookViewId="0">
      <selection activeCell="Q56" sqref="Q56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SUM('0224'!$K$43:$L$43)</f>
        <v>108405</v>
      </c>
      <c r="F9" s="42">
        <f>SUM(E9)/D9</f>
        <v>0.54202499999999998</v>
      </c>
      <c r="G9" s="10">
        <f>SUM('0224'!$N$43)</f>
        <v>1008.8802785492607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400000</v>
      </c>
      <c r="E10" s="12">
        <f>SUM('0224'!$K$44:$L$44)</f>
        <v>183931</v>
      </c>
      <c r="F10" s="44">
        <f>SUM(E10)/D10</f>
        <v>0.4598275</v>
      </c>
      <c r="G10" s="13">
        <f>SUM('0224'!$N$44)</f>
        <v>1473.4549634136822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 t="s">
        <v>55</v>
      </c>
      <c r="D16" s="37">
        <v>28000</v>
      </c>
      <c r="E16" s="37"/>
      <c r="F16" s="77">
        <f t="shared" ref="F16:F22" si="0">IF(D16="","",(SUM($G$9)))</f>
        <v>1008.8802785492607</v>
      </c>
      <c r="G16" s="78">
        <f t="shared" ref="G16:G22" si="1">IF(D16="","",(SUM(E16)-F16))</f>
        <v>-1008.8802785492607</v>
      </c>
      <c r="H16" s="79">
        <f t="shared" ref="H16:H22" si="2">IF(D16="","",(D16*G16))</f>
        <v>-28248647.799379297</v>
      </c>
      <c r="I16" s="17"/>
      <c r="J16" s="159" t="s">
        <v>22</v>
      </c>
      <c r="K16" s="36" t="s">
        <v>56</v>
      </c>
      <c r="L16" s="37">
        <v>32000</v>
      </c>
      <c r="M16" s="37"/>
      <c r="N16" s="94">
        <f t="shared" ref="N16:N22" si="3">IF(L16="","",($G$10))</f>
        <v>1473.4549634136822</v>
      </c>
      <c r="O16" s="95">
        <f t="shared" ref="O16:O22" si="4">IF(L16="","",(SUM(M16)-N16))</f>
        <v>-1473.4549634136822</v>
      </c>
      <c r="P16" s="96">
        <f t="shared" ref="P16:P22" si="5">IF(L16="","",(L16*O16))</f>
        <v>-47150558.829237834</v>
      </c>
    </row>
    <row r="17" spans="2:18" ht="24" customHeight="1">
      <c r="B17" s="158"/>
      <c r="C17" s="110" t="s">
        <v>44</v>
      </c>
      <c r="D17" s="16">
        <v>32000</v>
      </c>
      <c r="E17" s="16"/>
      <c r="F17" s="80">
        <f t="shared" si="0"/>
        <v>1008.8802785492607</v>
      </c>
      <c r="G17" s="81">
        <f t="shared" si="1"/>
        <v>-1008.8802785492607</v>
      </c>
      <c r="H17" s="82">
        <f t="shared" si="2"/>
        <v>-32284168.913576342</v>
      </c>
      <c r="I17" s="17"/>
      <c r="J17" s="159"/>
      <c r="K17" s="110" t="s">
        <v>44</v>
      </c>
      <c r="L17" s="16">
        <v>32000</v>
      </c>
      <c r="M17" s="16"/>
      <c r="N17" s="97">
        <f t="shared" si="3"/>
        <v>1473.4549634136822</v>
      </c>
      <c r="O17" s="98">
        <f t="shared" si="4"/>
        <v>-1473.4549634136822</v>
      </c>
      <c r="P17" s="99">
        <f t="shared" si="5"/>
        <v>-47150558.829237834</v>
      </c>
    </row>
    <row r="18" spans="2:18" ht="24" customHeight="1">
      <c r="B18" s="158"/>
      <c r="C18" s="110" t="s">
        <v>53</v>
      </c>
      <c r="D18" s="16">
        <v>28000</v>
      </c>
      <c r="E18" s="16"/>
      <c r="F18" s="80">
        <f t="shared" si="0"/>
        <v>1008.8802785492607</v>
      </c>
      <c r="G18" s="81">
        <f t="shared" si="1"/>
        <v>-1008.8802785492607</v>
      </c>
      <c r="H18" s="82">
        <f t="shared" si="2"/>
        <v>-28248647.799379297</v>
      </c>
      <c r="I18" s="17"/>
      <c r="J18" s="159"/>
      <c r="K18" s="110"/>
      <c r="L18" s="16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110"/>
      <c r="L19" s="16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88000</v>
      </c>
      <c r="E23" s="75"/>
      <c r="F23" s="75"/>
      <c r="G23" s="75"/>
      <c r="H23" s="76">
        <f>SUM(H16:H22)</f>
        <v>-88781464.512334943</v>
      </c>
      <c r="I23" s="106"/>
      <c r="J23" s="89" t="s">
        <v>24</v>
      </c>
      <c r="K23" s="90"/>
      <c r="L23" s="91">
        <f>SUM(L16:L22)</f>
        <v>64000</v>
      </c>
      <c r="M23" s="92"/>
      <c r="N23" s="92"/>
      <c r="O23" s="92"/>
      <c r="P23" s="93">
        <f>SUM(P16:P22)</f>
        <v>-94301117.658475667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20405</v>
      </c>
      <c r="D29" s="177"/>
      <c r="E29" s="178">
        <f>$G$9</f>
        <v>1008.8802785492607</v>
      </c>
      <c r="F29" s="178"/>
      <c r="G29" s="177">
        <f>C29*E29</f>
        <v>20586202.083797663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119931</v>
      </c>
      <c r="D30" s="174"/>
      <c r="E30" s="185">
        <f>$G$10</f>
        <v>1473.4549634136822</v>
      </c>
      <c r="F30" s="185"/>
      <c r="G30" s="174">
        <f>C30*E30</f>
        <v>176712927.21716633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20405</v>
      </c>
      <c r="D36" s="177"/>
      <c r="E36" s="177">
        <f>$G$29+$O$29</f>
        <v>20586202.083797663</v>
      </c>
      <c r="F36" s="177"/>
      <c r="G36" s="178">
        <f>E36/C36</f>
        <v>1008.8802785492607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119931</v>
      </c>
      <c r="D37" s="174"/>
      <c r="E37" s="174">
        <f>$G$30+$O$30</f>
        <v>176712927.21716633</v>
      </c>
      <c r="F37" s="174"/>
      <c r="G37" s="185">
        <f>E37/C37</f>
        <v>1473.4549634136822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S42" s="2" t="s">
        <v>10</v>
      </c>
    </row>
    <row r="43" spans="2:25" ht="24" customHeight="1">
      <c r="B43" s="61" t="s">
        <v>40</v>
      </c>
      <c r="C43" s="227">
        <f>SUM($E$9)</f>
        <v>108405</v>
      </c>
      <c r="D43" s="228"/>
      <c r="E43" s="62"/>
      <c r="F43" s="229">
        <f>$K$29</f>
        <v>0</v>
      </c>
      <c r="G43" s="230"/>
      <c r="H43" s="230">
        <f>$D$23</f>
        <v>88000</v>
      </c>
      <c r="I43" s="230"/>
      <c r="J43" s="230"/>
      <c r="K43" s="231">
        <f>$C$43-$H$43+$F$43+$O$43</f>
        <v>20405</v>
      </c>
      <c r="L43" s="231"/>
      <c r="M43" s="63">
        <f>SUM($K$43)/$D$9</f>
        <v>0.102025</v>
      </c>
      <c r="N43" s="64">
        <f>$G$36</f>
        <v>1008.8802785492607</v>
      </c>
      <c r="O43" s="103"/>
      <c r="P43" s="23"/>
      <c r="Q43" s="18"/>
    </row>
    <row r="44" spans="2:25" ht="24.75" customHeight="1">
      <c r="B44" s="65" t="s">
        <v>41</v>
      </c>
      <c r="C44" s="232">
        <f>SUM($E$10)</f>
        <v>183931</v>
      </c>
      <c r="D44" s="233"/>
      <c r="E44" s="66"/>
      <c r="F44" s="234">
        <f>$K$30</f>
        <v>0</v>
      </c>
      <c r="G44" s="235"/>
      <c r="H44" s="235">
        <f>$L$23</f>
        <v>64000</v>
      </c>
      <c r="I44" s="235"/>
      <c r="J44" s="235"/>
      <c r="K44" s="236">
        <f>$C$44-$H$44+$F$44+$O$44</f>
        <v>119931</v>
      </c>
      <c r="L44" s="236"/>
      <c r="M44" s="67">
        <f>SUM($K$44)/D10</f>
        <v>0.29982750000000002</v>
      </c>
      <c r="N44" s="68">
        <f>$G$37</f>
        <v>1473.4549634136822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5:C46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FF00"/>
    <pageSetUpPr fitToPage="1"/>
  </sheetPr>
  <dimension ref="B1:Y124"/>
  <sheetViews>
    <sheetView showGridLines="0" topLeftCell="A24" zoomScaleNormal="100" workbookViewId="0">
      <selection activeCell="E9" sqref="E9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SUM('0225'!$K$43:$L$43)</f>
        <v>20405</v>
      </c>
      <c r="F9" s="42">
        <f>SUM(E9)/D9</f>
        <v>0.102025</v>
      </c>
      <c r="G9" s="10">
        <f>SUM('0225'!$N$43)</f>
        <v>1008.8802785492607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400000</v>
      </c>
      <c r="E10" s="12">
        <f>SUM('0225'!$K$44:$L$44)</f>
        <v>119931</v>
      </c>
      <c r="F10" s="44">
        <f>SUM(E10)/D10</f>
        <v>0.29982750000000002</v>
      </c>
      <c r="G10" s="13">
        <f>SUM('0225'!$N$44)</f>
        <v>1473.4549634136822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36"/>
      <c r="L16" s="37"/>
      <c r="M16" s="37"/>
      <c r="N16" s="94" t="str">
        <f t="shared" ref="N16:N22" si="3">IF(L16="","",($G$10))</f>
        <v/>
      </c>
      <c r="O16" s="95" t="str">
        <f t="shared" ref="O16:O22" si="4">IF(L16="","",(SUM(M16)-N16))</f>
        <v/>
      </c>
      <c r="P16" s="96" t="str">
        <f t="shared" ref="P16:P22" si="5">IF(L16="","",(L16*O16))</f>
        <v/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10"/>
      <c r="L18" s="16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110"/>
      <c r="L19" s="16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0</v>
      </c>
      <c r="M23" s="92"/>
      <c r="N23" s="92"/>
      <c r="O23" s="92"/>
      <c r="P23" s="93">
        <f>SUM(P16:P22)</f>
        <v>0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20405</v>
      </c>
      <c r="D29" s="177"/>
      <c r="E29" s="178">
        <f>$G$9</f>
        <v>1008.8802785492607</v>
      </c>
      <c r="F29" s="178"/>
      <c r="G29" s="177">
        <f>C29*E29</f>
        <v>20586202.083797663</v>
      </c>
      <c r="H29" s="179"/>
      <c r="I29" s="17"/>
      <c r="J29" s="49" t="s">
        <v>9</v>
      </c>
      <c r="K29" s="180">
        <v>20000</v>
      </c>
      <c r="L29" s="181"/>
      <c r="M29" s="182">
        <v>1024.5</v>
      </c>
      <c r="N29" s="183"/>
      <c r="O29" s="177">
        <f>K29*M29</f>
        <v>20490000</v>
      </c>
      <c r="P29" s="179"/>
      <c r="R29" s="18"/>
    </row>
    <row r="30" spans="2:18" ht="22.5" customHeight="1">
      <c r="B30" s="50" t="s">
        <v>11</v>
      </c>
      <c r="C30" s="184">
        <f>$E$10-$L$23</f>
        <v>119931</v>
      </c>
      <c r="D30" s="174"/>
      <c r="E30" s="185">
        <f>$G$10</f>
        <v>1473.4549634136822</v>
      </c>
      <c r="F30" s="185"/>
      <c r="G30" s="174">
        <f>C30*E30</f>
        <v>176712927.21716633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40405</v>
      </c>
      <c r="D36" s="177"/>
      <c r="E36" s="177">
        <f>$G$29+$O$29</f>
        <v>41076202.083797663</v>
      </c>
      <c r="F36" s="177"/>
      <c r="G36" s="178">
        <f>E36/C36</f>
        <v>1016.6118570423874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119931</v>
      </c>
      <c r="D37" s="174"/>
      <c r="E37" s="174">
        <f>$G$30+$O$30</f>
        <v>176712927.21716633</v>
      </c>
      <c r="F37" s="174"/>
      <c r="G37" s="185">
        <f>E37/C37</f>
        <v>1473.4549634136822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S42" s="2" t="s">
        <v>10</v>
      </c>
    </row>
    <row r="43" spans="2:25" ht="24" customHeight="1">
      <c r="B43" s="61" t="s">
        <v>40</v>
      </c>
      <c r="C43" s="227">
        <f>SUM($E$9)</f>
        <v>20405</v>
      </c>
      <c r="D43" s="228"/>
      <c r="E43" s="62"/>
      <c r="F43" s="229">
        <f>$K$29</f>
        <v>20000</v>
      </c>
      <c r="G43" s="230"/>
      <c r="H43" s="230">
        <f>$D$23</f>
        <v>0</v>
      </c>
      <c r="I43" s="230"/>
      <c r="J43" s="230"/>
      <c r="K43" s="231">
        <f>$C$43-$H$43+$F$43+$O$43</f>
        <v>40405</v>
      </c>
      <c r="L43" s="231"/>
      <c r="M43" s="63">
        <f>SUM($K$43)/$D$9</f>
        <v>0.20202500000000001</v>
      </c>
      <c r="N43" s="64">
        <f>$G$36</f>
        <v>1016.6118570423874</v>
      </c>
      <c r="O43" s="103"/>
      <c r="P43" s="23"/>
      <c r="Q43" s="18"/>
    </row>
    <row r="44" spans="2:25" ht="24.75" customHeight="1">
      <c r="B44" s="65" t="s">
        <v>41</v>
      </c>
      <c r="C44" s="232">
        <f>SUM($E$10)</f>
        <v>119931</v>
      </c>
      <c r="D44" s="233"/>
      <c r="E44" s="66"/>
      <c r="F44" s="234">
        <f>$K$30</f>
        <v>0</v>
      </c>
      <c r="G44" s="235"/>
      <c r="H44" s="235">
        <f>$L$23</f>
        <v>0</v>
      </c>
      <c r="I44" s="235"/>
      <c r="J44" s="235"/>
      <c r="K44" s="236">
        <f>$C$44-$H$44+$F$44+$O$44</f>
        <v>119931</v>
      </c>
      <c r="L44" s="236"/>
      <c r="M44" s="67">
        <f>SUM($K$44)/D10</f>
        <v>0.29982750000000002</v>
      </c>
      <c r="N44" s="68">
        <f>$G$37</f>
        <v>1473.4549634136822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B1:Y124"/>
  <sheetViews>
    <sheetView showGridLines="0" topLeftCell="A25" zoomScaleNormal="100" workbookViewId="0">
      <selection activeCell="P34" sqref="P34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SUM('0227 (입고)'!$K$43:$L$43)</f>
        <v>40405</v>
      </c>
      <c r="F9" s="42">
        <f>SUM(E9)/D9</f>
        <v>0.20202500000000001</v>
      </c>
      <c r="G9" s="10">
        <f>SUM('0227 (입고)'!$N$43)</f>
        <v>1016.6118570423874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400000</v>
      </c>
      <c r="E10" s="12">
        <f>SUM('0227 (입고)'!$K$44:$L$44)</f>
        <v>119931</v>
      </c>
      <c r="F10" s="44">
        <f>SUM(E10)/D10</f>
        <v>0.29982750000000002</v>
      </c>
      <c r="G10" s="13">
        <f>SUM('0227 (입고)'!$N$44)</f>
        <v>1473.4549634136822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 t="s">
        <v>55</v>
      </c>
      <c r="D16" s="37">
        <v>4000</v>
      </c>
      <c r="E16" s="37"/>
      <c r="F16" s="77">
        <f t="shared" ref="F16:F22" si="0">IF(D16="","",(SUM($G$9)))</f>
        <v>1016.6118570423874</v>
      </c>
      <c r="G16" s="78">
        <f t="shared" ref="G16:G22" si="1">IF(D16="","",(SUM(E16)-F16))</f>
        <v>-1016.6118570423874</v>
      </c>
      <c r="H16" s="79">
        <f t="shared" ref="H16:H22" si="2">IF(D16="","",(D16*G16))</f>
        <v>-4066447.4281695499</v>
      </c>
      <c r="I16" s="17"/>
      <c r="J16" s="159" t="s">
        <v>22</v>
      </c>
      <c r="K16" s="36" t="s">
        <v>55</v>
      </c>
      <c r="L16" s="37">
        <v>4000</v>
      </c>
      <c r="M16" s="37"/>
      <c r="N16" s="94">
        <f t="shared" ref="N16:N22" si="3">IF(L16="","",($G$10))</f>
        <v>1473.4549634136822</v>
      </c>
      <c r="O16" s="95">
        <f t="shared" ref="O16:O22" si="4">IF(L16="","",(SUM(M16)-N16))</f>
        <v>-1473.4549634136822</v>
      </c>
      <c r="P16" s="96">
        <f t="shared" ref="P16:P22" si="5">IF(L16="","",(L16*O16))</f>
        <v>-5893819.8536547292</v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10"/>
      <c r="L18" s="16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110"/>
      <c r="L19" s="16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4000</v>
      </c>
      <c r="E23" s="75"/>
      <c r="F23" s="75"/>
      <c r="G23" s="75"/>
      <c r="H23" s="76">
        <f>SUM(H16:H22)</f>
        <v>-4066447.4281695499</v>
      </c>
      <c r="I23" s="106"/>
      <c r="J23" s="89" t="s">
        <v>24</v>
      </c>
      <c r="K23" s="90"/>
      <c r="L23" s="91">
        <f>SUM(L16:L22)</f>
        <v>4000</v>
      </c>
      <c r="M23" s="92"/>
      <c r="N23" s="92"/>
      <c r="O23" s="92"/>
      <c r="P23" s="93">
        <f>SUM(P16:P22)</f>
        <v>-5893819.8536547292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36405</v>
      </c>
      <c r="D29" s="177"/>
      <c r="E29" s="178">
        <f>$G$9</f>
        <v>1016.6118570423874</v>
      </c>
      <c r="F29" s="178"/>
      <c r="G29" s="177">
        <f>C29*E29</f>
        <v>37009754.655628115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115931</v>
      </c>
      <c r="D30" s="174"/>
      <c r="E30" s="185">
        <f>$G$10</f>
        <v>1473.4549634136822</v>
      </c>
      <c r="F30" s="185"/>
      <c r="G30" s="174">
        <f>C30*E30</f>
        <v>170819107.36351159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36405</v>
      </c>
      <c r="D36" s="177"/>
      <c r="E36" s="177">
        <f>$G$29+$O$29</f>
        <v>37009754.655628115</v>
      </c>
      <c r="F36" s="177"/>
      <c r="G36" s="178">
        <f>E36/C36</f>
        <v>1016.6118570423874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115931</v>
      </c>
      <c r="D37" s="174"/>
      <c r="E37" s="174">
        <f>$G$30+$O$30</f>
        <v>170819107.36351159</v>
      </c>
      <c r="F37" s="174"/>
      <c r="G37" s="185">
        <f>E37/C37</f>
        <v>1473.4549634136822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S42" s="2" t="s">
        <v>10</v>
      </c>
    </row>
    <row r="43" spans="2:25" ht="24" customHeight="1">
      <c r="B43" s="61" t="s">
        <v>40</v>
      </c>
      <c r="C43" s="227">
        <f>SUM($E$9)</f>
        <v>40405</v>
      </c>
      <c r="D43" s="228"/>
      <c r="E43" s="62"/>
      <c r="F43" s="229">
        <f>$K$29</f>
        <v>0</v>
      </c>
      <c r="G43" s="230"/>
      <c r="H43" s="230">
        <f>$D$23</f>
        <v>4000</v>
      </c>
      <c r="I43" s="230"/>
      <c r="J43" s="230"/>
      <c r="K43" s="231">
        <f>$C$43-$H$43+$F$43+$O$43</f>
        <v>36405</v>
      </c>
      <c r="L43" s="231"/>
      <c r="M43" s="63">
        <f>SUM($K$43)/$D$9</f>
        <v>0.18202499999999999</v>
      </c>
      <c r="N43" s="64">
        <f>$G$36</f>
        <v>1016.6118570423874</v>
      </c>
      <c r="O43" s="103"/>
      <c r="P43" s="23"/>
      <c r="Q43" s="18"/>
    </row>
    <row r="44" spans="2:25" ht="24.75" customHeight="1">
      <c r="B44" s="65" t="s">
        <v>41</v>
      </c>
      <c r="C44" s="232">
        <f>SUM($E$10)</f>
        <v>119931</v>
      </c>
      <c r="D44" s="233"/>
      <c r="E44" s="66"/>
      <c r="F44" s="234">
        <f>$K$30</f>
        <v>0</v>
      </c>
      <c r="G44" s="235"/>
      <c r="H44" s="235">
        <f>$L$23</f>
        <v>4000</v>
      </c>
      <c r="I44" s="235"/>
      <c r="J44" s="235"/>
      <c r="K44" s="236">
        <f>$C$44-$H$44+$F$44+$O$44</f>
        <v>115931</v>
      </c>
      <c r="L44" s="236"/>
      <c r="M44" s="67">
        <f>SUM($K$44)/D10</f>
        <v>0.28982750000000002</v>
      </c>
      <c r="N44" s="68">
        <f>$G$37</f>
        <v>1473.4549634136822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FF00"/>
    <pageSetUpPr fitToPage="1"/>
  </sheetPr>
  <dimension ref="B1:Y124"/>
  <sheetViews>
    <sheetView showGridLines="0" topLeftCell="A28" zoomScaleNormal="100" workbookViewId="0">
      <selection activeCell="K47" sqref="K47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 thickBo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 thickTop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SUM('0228'!$K$43:$L$43)</f>
        <v>36405</v>
      </c>
      <c r="F9" s="42">
        <f>SUM(E9)/D9</f>
        <v>0.18202499999999999</v>
      </c>
      <c r="G9" s="10">
        <f>SUM('0228'!$N$43)</f>
        <v>1016.6118570423874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400000</v>
      </c>
      <c r="E10" s="12">
        <f>SUM('0228'!$K$44:$L$44)</f>
        <v>115931</v>
      </c>
      <c r="F10" s="44">
        <f>SUM(E10)/D10</f>
        <v>0.28982750000000002</v>
      </c>
      <c r="G10" s="13">
        <f>SUM('0228'!$N$44)</f>
        <v>1473.4549634136822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36"/>
      <c r="L16" s="37"/>
      <c r="M16" s="37"/>
      <c r="N16" s="94" t="str">
        <f t="shared" ref="N16:N22" si="3">IF(L16="","",($G$10))</f>
        <v/>
      </c>
      <c r="O16" s="95" t="str">
        <f t="shared" ref="O16:O22" si="4">IF(L16="","",(SUM(M16)-N16))</f>
        <v/>
      </c>
      <c r="P16" s="96" t="str">
        <f t="shared" ref="P16:P22" si="5">IF(L16="","",(L16*O16))</f>
        <v/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10"/>
      <c r="L18" s="16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110"/>
      <c r="L19" s="16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0</v>
      </c>
      <c r="M23" s="92"/>
      <c r="N23" s="92"/>
      <c r="O23" s="92"/>
      <c r="P23" s="93">
        <f>SUM(P16:P22)</f>
        <v>0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36405</v>
      </c>
      <c r="D29" s="177"/>
      <c r="E29" s="178">
        <f>$G$9</f>
        <v>1016.6118570423874</v>
      </c>
      <c r="F29" s="178"/>
      <c r="G29" s="177">
        <f>C29*E29</f>
        <v>37009754.655628115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115931</v>
      </c>
      <c r="D30" s="174"/>
      <c r="E30" s="185">
        <f>$G$10</f>
        <v>1473.4549634136822</v>
      </c>
      <c r="F30" s="185"/>
      <c r="G30" s="174">
        <f>C30*E30</f>
        <v>170819107.36351159</v>
      </c>
      <c r="H30" s="175"/>
      <c r="I30" s="17"/>
      <c r="J30" s="50" t="s">
        <v>11</v>
      </c>
      <c r="K30" s="186">
        <v>76000</v>
      </c>
      <c r="L30" s="187"/>
      <c r="M30" s="188">
        <v>1532.5</v>
      </c>
      <c r="N30" s="189"/>
      <c r="O30" s="174">
        <f>K30*M30</f>
        <v>116470000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36405</v>
      </c>
      <c r="D36" s="177"/>
      <c r="E36" s="177">
        <f>$G$29+$O$29</f>
        <v>37009754.655628115</v>
      </c>
      <c r="F36" s="177"/>
      <c r="G36" s="178">
        <f>E36/C36</f>
        <v>1016.6118570423874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191931</v>
      </c>
      <c r="D37" s="174"/>
      <c r="E37" s="174">
        <f>$G$30+$O$30</f>
        <v>287289107.36351156</v>
      </c>
      <c r="F37" s="174"/>
      <c r="G37" s="185">
        <f>E37/C37</f>
        <v>1496.8353593922377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S42" s="2" t="s">
        <v>10</v>
      </c>
    </row>
    <row r="43" spans="2:25" ht="24" customHeight="1">
      <c r="B43" s="61" t="s">
        <v>40</v>
      </c>
      <c r="C43" s="227">
        <f>SUM($E$9)</f>
        <v>36405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36405</v>
      </c>
      <c r="L43" s="231"/>
      <c r="M43" s="63">
        <f>SUM($K$43)/$D$9</f>
        <v>0.18202499999999999</v>
      </c>
      <c r="N43" s="64">
        <f>$G$36</f>
        <v>1016.6118570423874</v>
      </c>
      <c r="O43" s="103"/>
      <c r="P43" s="23"/>
      <c r="Q43" s="18"/>
    </row>
    <row r="44" spans="2:25" ht="24.75" customHeight="1">
      <c r="B44" s="65" t="s">
        <v>41</v>
      </c>
      <c r="C44" s="232">
        <f>SUM($E$10)</f>
        <v>115931</v>
      </c>
      <c r="D44" s="233"/>
      <c r="E44" s="66"/>
      <c r="F44" s="234">
        <f>$K$30</f>
        <v>76000</v>
      </c>
      <c r="G44" s="235"/>
      <c r="H44" s="235">
        <f>$L$23</f>
        <v>0</v>
      </c>
      <c r="I44" s="235"/>
      <c r="J44" s="235"/>
      <c r="K44" s="236">
        <f>$C$44-$H$44+$F$44+$O$44</f>
        <v>191931</v>
      </c>
      <c r="L44" s="236"/>
      <c r="M44" s="67">
        <f>SUM($K$44)/D10</f>
        <v>0.47982750000000002</v>
      </c>
      <c r="N44" s="68">
        <f>$G$37</f>
        <v>1496.8353593922377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FF00"/>
    <pageSetUpPr fitToPage="1"/>
  </sheetPr>
  <dimension ref="B1:Y124"/>
  <sheetViews>
    <sheetView showGridLines="0" topLeftCell="A29" zoomScaleNormal="100" workbookViewId="0">
      <selection activeCell="E38" sqref="E38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SUM('0228 (입고)'!$K$43:$L$43)</f>
        <v>36405</v>
      </c>
      <c r="F9" s="42">
        <f>SUM(E9)/D9</f>
        <v>0.18202499999999999</v>
      </c>
      <c r="G9" s="10">
        <f>SUM('0228 (입고)'!$N$43)</f>
        <v>1016.6118570423874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400000</v>
      </c>
      <c r="E10" s="12">
        <f>SUM('0228 (입고)'!$K$44:$L$44)</f>
        <v>191931</v>
      </c>
      <c r="F10" s="44">
        <f>SUM(E10)/D10</f>
        <v>0.47982750000000002</v>
      </c>
      <c r="G10" s="13">
        <f>SUM('0228 (입고)'!$N$44)</f>
        <v>1496.8353593922377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36"/>
      <c r="L16" s="37"/>
      <c r="M16" s="37"/>
      <c r="N16" s="94" t="str">
        <f t="shared" ref="N16:N22" si="3">IF(L16="","",($G$10))</f>
        <v/>
      </c>
      <c r="O16" s="95" t="str">
        <f t="shared" ref="O16:O22" si="4">IF(L16="","",(SUM(M16)-N16))</f>
        <v/>
      </c>
      <c r="P16" s="96" t="str">
        <f t="shared" ref="P16:P22" si="5">IF(L16="","",(L16*O16))</f>
        <v/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10"/>
      <c r="L18" s="16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110"/>
      <c r="L19" s="16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0</v>
      </c>
      <c r="M23" s="92"/>
      <c r="N23" s="92"/>
      <c r="O23" s="92"/>
      <c r="P23" s="93">
        <f>SUM(P16:P22)</f>
        <v>0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36405</v>
      </c>
      <c r="D29" s="177"/>
      <c r="E29" s="178">
        <f>$G$9</f>
        <v>1016.6118570423874</v>
      </c>
      <c r="F29" s="178"/>
      <c r="G29" s="177">
        <f>C29*E29</f>
        <v>37009754.655628115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191931</v>
      </c>
      <c r="D30" s="174"/>
      <c r="E30" s="185">
        <f>$G$10</f>
        <v>1496.8353593922377</v>
      </c>
      <c r="F30" s="185"/>
      <c r="G30" s="174">
        <f>C30*E30</f>
        <v>287289107.36351156</v>
      </c>
      <c r="H30" s="175"/>
      <c r="I30" s="17"/>
      <c r="J30" s="50" t="s">
        <v>11</v>
      </c>
      <c r="K30" s="186">
        <v>92431</v>
      </c>
      <c r="L30" s="187"/>
      <c r="M30" s="188">
        <v>1753.4673926202599</v>
      </c>
      <c r="N30" s="189"/>
      <c r="O30" s="174">
        <f>K30*M30</f>
        <v>162074744.56728324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36405</v>
      </c>
      <c r="D36" s="177"/>
      <c r="E36" s="177">
        <f>$G$29+$O$29-K36</f>
        <v>34664880.655628115</v>
      </c>
      <c r="F36" s="177"/>
      <c r="G36" s="178">
        <f>E36/C36</f>
        <v>952.201089290705</v>
      </c>
      <c r="H36" s="214"/>
      <c r="I36" s="17"/>
      <c r="J36" s="17"/>
      <c r="K36" s="123">
        <v>2344874</v>
      </c>
      <c r="L36" s="124" t="s">
        <v>57</v>
      </c>
      <c r="M36" s="124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284362</v>
      </c>
      <c r="D37" s="174"/>
      <c r="E37" s="174">
        <f>$G$30+$O$30-K37</f>
        <v>445717307.93079484</v>
      </c>
      <c r="F37" s="174"/>
      <c r="G37" s="185">
        <f>E37/C37</f>
        <v>1567.4292202572594</v>
      </c>
      <c r="H37" s="212"/>
      <c r="I37" s="17"/>
      <c r="J37" s="18"/>
      <c r="K37" s="123">
        <v>3646544</v>
      </c>
      <c r="L37" s="124" t="s">
        <v>57</v>
      </c>
      <c r="M37" s="124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S42" s="2" t="s">
        <v>10</v>
      </c>
    </row>
    <row r="43" spans="2:25" ht="24" customHeight="1">
      <c r="B43" s="61" t="s">
        <v>40</v>
      </c>
      <c r="C43" s="227">
        <f>SUM($E$9)</f>
        <v>36405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36405</v>
      </c>
      <c r="L43" s="231"/>
      <c r="M43" s="63">
        <f>SUM($K$43)/$D$9</f>
        <v>0.18202499999999999</v>
      </c>
      <c r="N43" s="64">
        <f>$G$36</f>
        <v>952.201089290705</v>
      </c>
      <c r="O43" s="103"/>
      <c r="P43" s="23"/>
      <c r="Q43" s="18"/>
    </row>
    <row r="44" spans="2:25" ht="24.75" customHeight="1">
      <c r="B44" s="65" t="s">
        <v>41</v>
      </c>
      <c r="C44" s="232">
        <f>SUM($E$10)</f>
        <v>191931</v>
      </c>
      <c r="D44" s="233"/>
      <c r="E44" s="66"/>
      <c r="F44" s="234">
        <f>$K$30</f>
        <v>92431</v>
      </c>
      <c r="G44" s="235"/>
      <c r="H44" s="235">
        <f>$L$23</f>
        <v>0</v>
      </c>
      <c r="I44" s="235"/>
      <c r="J44" s="235"/>
      <c r="K44" s="236">
        <f>$C$44-$H$44+$F$44+$O$44</f>
        <v>284362</v>
      </c>
      <c r="L44" s="236"/>
      <c r="M44" s="67">
        <f>SUM($K$44)/D10</f>
        <v>0.71090500000000001</v>
      </c>
      <c r="N44" s="68">
        <f>$G$37</f>
        <v>1567.4292202572594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5:C46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FF00"/>
    <pageSetUpPr fitToPage="1"/>
  </sheetPr>
  <dimension ref="B1:Y124"/>
  <sheetViews>
    <sheetView showGridLines="0" topLeftCell="A21" zoomScaleNormal="100" workbookViewId="0">
      <selection activeCell="N32" sqref="N32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 thickBo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 thickTop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SUM('0304 (입고)'!$K$43:$L$43)</f>
        <v>36405</v>
      </c>
      <c r="F9" s="42">
        <f>SUM(E9)/D9</f>
        <v>0.18202499999999999</v>
      </c>
      <c r="G9" s="10">
        <f>SUM('0304 (입고)'!$N$43)</f>
        <v>952.201089290705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400000</v>
      </c>
      <c r="E10" s="12">
        <f>SUM('0304 (입고)'!$K$44:$L$44)</f>
        <v>284362</v>
      </c>
      <c r="F10" s="44">
        <f>SUM(E10)/D10</f>
        <v>0.71090500000000001</v>
      </c>
      <c r="G10" s="13">
        <f>SUM('0304 (입고)'!$N$44)</f>
        <v>1567.4292202572594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36"/>
      <c r="L16" s="37"/>
      <c r="M16" s="37"/>
      <c r="N16" s="94" t="str">
        <f t="shared" ref="N16:N22" si="3">IF(L16="","",($G$10))</f>
        <v/>
      </c>
      <c r="O16" s="95" t="str">
        <f t="shared" ref="O16:O22" si="4">IF(L16="","",(SUM(M16)-N16))</f>
        <v/>
      </c>
      <c r="P16" s="96" t="str">
        <f t="shared" ref="P16:P22" si="5">IF(L16="","",(L16*O16))</f>
        <v/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10"/>
      <c r="L18" s="16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110"/>
      <c r="L19" s="16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0</v>
      </c>
      <c r="M23" s="92"/>
      <c r="N23" s="92"/>
      <c r="O23" s="92"/>
      <c r="P23" s="93">
        <f>SUM(P16:P22)</f>
        <v>0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36405</v>
      </c>
      <c r="D29" s="177"/>
      <c r="E29" s="178">
        <f>$G$9</f>
        <v>952.201089290705</v>
      </c>
      <c r="F29" s="178"/>
      <c r="G29" s="177">
        <f>C29*E29</f>
        <v>34664880.655628115</v>
      </c>
      <c r="H29" s="179"/>
      <c r="I29" s="17"/>
      <c r="J29" s="49" t="s">
        <v>9</v>
      </c>
      <c r="K29" s="180">
        <v>60000</v>
      </c>
      <c r="L29" s="181"/>
      <c r="M29" s="182">
        <v>1503.52742690892</v>
      </c>
      <c r="N29" s="183"/>
      <c r="O29" s="177">
        <f>K29*M29</f>
        <v>90211645.614535198</v>
      </c>
      <c r="P29" s="179"/>
      <c r="R29" s="18"/>
    </row>
    <row r="30" spans="2:18" ht="22.5" customHeight="1">
      <c r="B30" s="50" t="s">
        <v>11</v>
      </c>
      <c r="C30" s="184">
        <f>$E$10-$L$23</f>
        <v>284362</v>
      </c>
      <c r="D30" s="174"/>
      <c r="E30" s="185">
        <f>$G$10</f>
        <v>1567.4292202572594</v>
      </c>
      <c r="F30" s="185"/>
      <c r="G30" s="174">
        <f>C30*E30</f>
        <v>445717307.93079484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96405</v>
      </c>
      <c r="D36" s="177"/>
      <c r="E36" s="177">
        <f>$G$29+$O$29</f>
        <v>124876526.27016331</v>
      </c>
      <c r="F36" s="177"/>
      <c r="G36" s="178">
        <f>E36/C36</f>
        <v>1295.3324648116106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284362</v>
      </c>
      <c r="D37" s="174"/>
      <c r="E37" s="174">
        <f>$G$30+$O$30</f>
        <v>445717307.93079484</v>
      </c>
      <c r="F37" s="174"/>
      <c r="G37" s="185">
        <f>E37/C37</f>
        <v>1567.4292202572594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S42" s="2" t="s">
        <v>10</v>
      </c>
    </row>
    <row r="43" spans="2:25" ht="24" customHeight="1">
      <c r="B43" s="61" t="s">
        <v>40</v>
      </c>
      <c r="C43" s="227">
        <f>SUM($E$9)</f>
        <v>36405</v>
      </c>
      <c r="D43" s="228"/>
      <c r="E43" s="62"/>
      <c r="F43" s="229">
        <f>$K$29</f>
        <v>60000</v>
      </c>
      <c r="G43" s="230"/>
      <c r="H43" s="230">
        <f>$D$23</f>
        <v>0</v>
      </c>
      <c r="I43" s="230"/>
      <c r="J43" s="230"/>
      <c r="K43" s="231">
        <f>$C$43-$H$43+$F$43+$O$43</f>
        <v>96405</v>
      </c>
      <c r="L43" s="231"/>
      <c r="M43" s="63">
        <f>SUM($K$43)/$D$9</f>
        <v>0.48202499999999998</v>
      </c>
      <c r="N43" s="64">
        <f>$G$36</f>
        <v>1295.3324648116106</v>
      </c>
      <c r="O43" s="103"/>
      <c r="P43" s="23"/>
      <c r="Q43" s="18"/>
    </row>
    <row r="44" spans="2:25" ht="24.75" customHeight="1">
      <c r="B44" s="65" t="s">
        <v>41</v>
      </c>
      <c r="C44" s="232">
        <f>SUM($E$10)</f>
        <v>284362</v>
      </c>
      <c r="D44" s="233"/>
      <c r="E44" s="66"/>
      <c r="F44" s="234">
        <f>$K$30</f>
        <v>0</v>
      </c>
      <c r="G44" s="235"/>
      <c r="H44" s="235">
        <f>$L$23</f>
        <v>0</v>
      </c>
      <c r="I44" s="235"/>
      <c r="J44" s="235"/>
      <c r="K44" s="236">
        <f>$C$44-$H$44+$F$44+$O$44</f>
        <v>284362</v>
      </c>
      <c r="L44" s="236"/>
      <c r="M44" s="67">
        <f>SUM($K$44)/D10</f>
        <v>0.71090500000000001</v>
      </c>
      <c r="N44" s="68">
        <f>$G$37</f>
        <v>1567.4292202572594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B1:Y124"/>
  <sheetViews>
    <sheetView showGridLines="0" topLeftCell="A25" zoomScaleNormal="100" workbookViewId="0">
      <selection activeCell="N43" sqref="N43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 thickBo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 thickTop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SUM('0305 (입고)'!$K$43:$L$43)</f>
        <v>96405</v>
      </c>
      <c r="F9" s="42">
        <f>SUM(E9)/D9</f>
        <v>0.48202499999999998</v>
      </c>
      <c r="G9" s="10">
        <f>SUM('0305 (입고)'!$N$43)</f>
        <v>1295.3324648116106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400000</v>
      </c>
      <c r="E10" s="12">
        <f>SUM('0305 (입고)'!$K$44:$L$44)</f>
        <v>284362</v>
      </c>
      <c r="F10" s="44">
        <f>SUM(E10)/D10</f>
        <v>0.71090500000000001</v>
      </c>
      <c r="G10" s="13">
        <f>SUM('0305 (입고)'!$N$44)</f>
        <v>1567.4292202572594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 t="s">
        <v>58</v>
      </c>
      <c r="D16" s="37">
        <v>8000</v>
      </c>
      <c r="E16" s="37"/>
      <c r="F16" s="77">
        <f t="shared" ref="F16:F22" si="0">IF(D16="","",(SUM($G$9)))</f>
        <v>1295.3324648116106</v>
      </c>
      <c r="G16" s="78">
        <f t="shared" ref="G16:G22" si="1">IF(D16="","",(SUM(E16)-F16))</f>
        <v>-1295.3324648116106</v>
      </c>
      <c r="H16" s="79">
        <f t="shared" ref="H16:H22" si="2">IF(D16="","",(D16*G16))</f>
        <v>-10362659.718492884</v>
      </c>
      <c r="I16" s="17"/>
      <c r="J16" s="159" t="s">
        <v>22</v>
      </c>
      <c r="K16" s="36" t="s">
        <v>58</v>
      </c>
      <c r="L16" s="37">
        <v>20000</v>
      </c>
      <c r="M16" s="37"/>
      <c r="N16" s="94">
        <f t="shared" ref="N16:N22" si="3">IF(L16="","",($G$10))</f>
        <v>1567.4292202572594</v>
      </c>
      <c r="O16" s="95">
        <f t="shared" ref="O16:O22" si="4">IF(L16="","",(SUM(M16)-N16))</f>
        <v>-1567.4292202572594</v>
      </c>
      <c r="P16" s="96">
        <f t="shared" ref="P16:P22" si="5">IF(L16="","",(L16*O16))</f>
        <v>-31348584.405145187</v>
      </c>
    </row>
    <row r="17" spans="2:18" ht="24" customHeight="1">
      <c r="B17" s="158"/>
      <c r="C17" s="110" t="s">
        <v>59</v>
      </c>
      <c r="D17" s="16">
        <v>32000</v>
      </c>
      <c r="E17" s="16"/>
      <c r="F17" s="80">
        <f t="shared" si="0"/>
        <v>1295.3324648116106</v>
      </c>
      <c r="G17" s="81">
        <f t="shared" si="1"/>
        <v>-1295.3324648116106</v>
      </c>
      <c r="H17" s="82">
        <f t="shared" si="2"/>
        <v>-41450638.873971537</v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10"/>
      <c r="L18" s="16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110"/>
      <c r="L19" s="16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40000</v>
      </c>
      <c r="E23" s="75"/>
      <c r="F23" s="75"/>
      <c r="G23" s="75"/>
      <c r="H23" s="76">
        <f>SUM(H16:H22)</f>
        <v>-51813298.592464417</v>
      </c>
      <c r="I23" s="106"/>
      <c r="J23" s="89" t="s">
        <v>24</v>
      </c>
      <c r="K23" s="90"/>
      <c r="L23" s="91">
        <f>SUM(L16:L22)</f>
        <v>20000</v>
      </c>
      <c r="M23" s="92"/>
      <c r="N23" s="92"/>
      <c r="O23" s="92"/>
      <c r="P23" s="93">
        <f>SUM(P16:P22)</f>
        <v>-31348584.405145187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56405</v>
      </c>
      <c r="D29" s="177"/>
      <c r="E29" s="178">
        <f>$G$9</f>
        <v>1295.3324648116106</v>
      </c>
      <c r="F29" s="178"/>
      <c r="G29" s="177">
        <f>C29*E29</f>
        <v>73063227.677698895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264362</v>
      </c>
      <c r="D30" s="174"/>
      <c r="E30" s="185">
        <f>$G$10</f>
        <v>1567.4292202572594</v>
      </c>
      <c r="F30" s="185"/>
      <c r="G30" s="174">
        <f>C30*E30</f>
        <v>414368723.52564961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56405</v>
      </c>
      <c r="D36" s="177"/>
      <c r="E36" s="177">
        <f>$G$29+$O$29</f>
        <v>73063227.677698895</v>
      </c>
      <c r="F36" s="177"/>
      <c r="G36" s="178">
        <f>E36/C36</f>
        <v>1295.3324648116106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264362</v>
      </c>
      <c r="D37" s="174"/>
      <c r="E37" s="174">
        <f>$G$30+$O$30</f>
        <v>414368723.52564961</v>
      </c>
      <c r="F37" s="174"/>
      <c r="G37" s="185">
        <f>E37/C37</f>
        <v>1567.4292202572594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S42" s="2" t="s">
        <v>10</v>
      </c>
    </row>
    <row r="43" spans="2:25" ht="24" customHeight="1">
      <c r="B43" s="61" t="s">
        <v>40</v>
      </c>
      <c r="C43" s="227">
        <f>SUM($E$9)</f>
        <v>96405</v>
      </c>
      <c r="D43" s="228"/>
      <c r="E43" s="62"/>
      <c r="F43" s="229">
        <f>$K$29</f>
        <v>0</v>
      </c>
      <c r="G43" s="230"/>
      <c r="H43" s="230">
        <f>$D$23</f>
        <v>40000</v>
      </c>
      <c r="I43" s="230"/>
      <c r="J43" s="230"/>
      <c r="K43" s="231">
        <f>$C$43-$H$43+$F$43+$O$43</f>
        <v>56405</v>
      </c>
      <c r="L43" s="231"/>
      <c r="M43" s="63">
        <f>SUM($K$43)/$D$9</f>
        <v>0.28202500000000003</v>
      </c>
      <c r="N43" s="64">
        <f>$G$36</f>
        <v>1295.3324648116106</v>
      </c>
      <c r="O43" s="103"/>
      <c r="P43" s="23"/>
      <c r="Q43" s="18"/>
    </row>
    <row r="44" spans="2:25" ht="24.75" customHeight="1">
      <c r="B44" s="65" t="s">
        <v>41</v>
      </c>
      <c r="C44" s="232">
        <f>SUM($E$10)</f>
        <v>284362</v>
      </c>
      <c r="D44" s="233"/>
      <c r="E44" s="66"/>
      <c r="F44" s="234">
        <f>$K$30</f>
        <v>0</v>
      </c>
      <c r="G44" s="235"/>
      <c r="H44" s="235">
        <f>$L$23</f>
        <v>20000</v>
      </c>
      <c r="I44" s="235"/>
      <c r="J44" s="235"/>
      <c r="K44" s="236">
        <f>$C$44-$H$44+$F$44+$O$44</f>
        <v>264362</v>
      </c>
      <c r="L44" s="236"/>
      <c r="M44" s="67">
        <f>SUM($K$44)/D10</f>
        <v>0.66090499999999996</v>
      </c>
      <c r="N44" s="68">
        <f>$G$37</f>
        <v>1567.4292202572594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B1:Y124"/>
  <sheetViews>
    <sheetView showGridLines="0" topLeftCell="A28" zoomScaleNormal="100" workbookViewId="0">
      <selection activeCell="Q46" sqref="Q46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SUM('0305'!$K$43:$L$43)</f>
        <v>56405</v>
      </c>
      <c r="F9" s="42">
        <f>SUM(E9)/D9</f>
        <v>0.28202500000000003</v>
      </c>
      <c r="G9" s="10">
        <f>SUM('0305'!$N$43)</f>
        <v>1295.3324648116106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400000</v>
      </c>
      <c r="E10" s="12">
        <f>SUM('0305'!$K$44:$L$44)</f>
        <v>264362</v>
      </c>
      <c r="F10" s="44">
        <f>SUM(E10)/D10</f>
        <v>0.66090499999999996</v>
      </c>
      <c r="G10" s="13">
        <f>SUM('0305'!$N$44)</f>
        <v>1567.4292202572594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 t="s">
        <v>55</v>
      </c>
      <c r="D16" s="37">
        <v>8000</v>
      </c>
      <c r="E16" s="37"/>
      <c r="F16" s="77">
        <f t="shared" ref="F16:F22" si="0">IF(D16="","",(SUM($G$9)))</f>
        <v>1295.3324648116106</v>
      </c>
      <c r="G16" s="78">
        <f t="shared" ref="G16:G22" si="1">IF(D16="","",(SUM(E16)-F16))</f>
        <v>-1295.3324648116106</v>
      </c>
      <c r="H16" s="79">
        <f t="shared" ref="H16:H22" si="2">IF(D16="","",(D16*G16))</f>
        <v>-10362659.718492884</v>
      </c>
      <c r="I16" s="17"/>
      <c r="J16" s="159" t="s">
        <v>22</v>
      </c>
      <c r="K16" s="36" t="s">
        <v>60</v>
      </c>
      <c r="L16" s="37">
        <v>12000</v>
      </c>
      <c r="M16" s="37"/>
      <c r="N16" s="94">
        <f t="shared" ref="N16:N22" si="3">IF(L16="","",($G$10))</f>
        <v>1567.4292202572594</v>
      </c>
      <c r="O16" s="95">
        <f t="shared" ref="O16:O22" si="4">IF(L16="","",(SUM(M16)-N16))</f>
        <v>-1567.4292202572594</v>
      </c>
      <c r="P16" s="96">
        <f t="shared" ref="P16:P22" si="5">IF(L16="","",(L16*O16))</f>
        <v>-18809150.643087111</v>
      </c>
    </row>
    <row r="17" spans="2:18" ht="24" customHeight="1">
      <c r="B17" s="158"/>
      <c r="C17" s="110" t="s">
        <v>61</v>
      </c>
      <c r="D17" s="16">
        <v>3000</v>
      </c>
      <c r="E17" s="16"/>
      <c r="F17" s="80">
        <f t="shared" si="0"/>
        <v>1295.3324648116106</v>
      </c>
      <c r="G17" s="81">
        <f t="shared" si="1"/>
        <v>-1295.3324648116106</v>
      </c>
      <c r="H17" s="82">
        <f t="shared" si="2"/>
        <v>-3885997.394434832</v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 t="s">
        <v>44</v>
      </c>
      <c r="D18" s="16">
        <v>3180</v>
      </c>
      <c r="E18" s="16"/>
      <c r="F18" s="80">
        <f t="shared" si="0"/>
        <v>1295.3324648116106</v>
      </c>
      <c r="G18" s="81">
        <f t="shared" si="1"/>
        <v>-1295.3324648116106</v>
      </c>
      <c r="H18" s="82">
        <f t="shared" si="2"/>
        <v>-4119157.2381009217</v>
      </c>
      <c r="I18" s="17"/>
      <c r="J18" s="159"/>
      <c r="K18" s="110"/>
      <c r="L18" s="16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110"/>
      <c r="L19" s="16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14180</v>
      </c>
      <c r="E23" s="75"/>
      <c r="F23" s="75"/>
      <c r="G23" s="75"/>
      <c r="H23" s="76">
        <f>SUM(H16:H22)</f>
        <v>-18367814.351028636</v>
      </c>
      <c r="I23" s="106"/>
      <c r="J23" s="89" t="s">
        <v>24</v>
      </c>
      <c r="K23" s="90"/>
      <c r="L23" s="91">
        <f>SUM(L16:L22)</f>
        <v>12000</v>
      </c>
      <c r="M23" s="92"/>
      <c r="N23" s="92"/>
      <c r="O23" s="92"/>
      <c r="P23" s="93">
        <f>SUM(P16:P22)</f>
        <v>-18809150.643087111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42225</v>
      </c>
      <c r="D29" s="177"/>
      <c r="E29" s="178">
        <f>$G$9</f>
        <v>1295.3324648116106</v>
      </c>
      <c r="F29" s="178"/>
      <c r="G29" s="177">
        <f>C29*E29</f>
        <v>54695413.326670259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252362</v>
      </c>
      <c r="D30" s="174"/>
      <c r="E30" s="185">
        <f>$G$10</f>
        <v>1567.4292202572594</v>
      </c>
      <c r="F30" s="185"/>
      <c r="G30" s="174">
        <f>C30*E30</f>
        <v>395559572.88256252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42225</v>
      </c>
      <c r="D36" s="177"/>
      <c r="E36" s="177">
        <f>$G$29+$O$29</f>
        <v>54695413.326670259</v>
      </c>
      <c r="F36" s="177"/>
      <c r="G36" s="178">
        <f>E36/C36</f>
        <v>1295.3324648116106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252362</v>
      </c>
      <c r="D37" s="174"/>
      <c r="E37" s="174">
        <f>$G$30+$O$30</f>
        <v>395559572.88256252</v>
      </c>
      <c r="F37" s="174"/>
      <c r="G37" s="185">
        <f>E37/C37</f>
        <v>1567.4292202572594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S42" s="2" t="s">
        <v>10</v>
      </c>
    </row>
    <row r="43" spans="2:25" ht="24" customHeight="1">
      <c r="B43" s="61" t="s">
        <v>40</v>
      </c>
      <c r="C43" s="227">
        <f>SUM($E$9)</f>
        <v>56405</v>
      </c>
      <c r="D43" s="228"/>
      <c r="E43" s="62"/>
      <c r="F43" s="229">
        <f>$K$29</f>
        <v>0</v>
      </c>
      <c r="G43" s="230"/>
      <c r="H43" s="230">
        <f>$D$23</f>
        <v>14180</v>
      </c>
      <c r="I43" s="230"/>
      <c r="J43" s="230"/>
      <c r="K43" s="231">
        <f>$C$43-$H$43+$F$43+$O$43</f>
        <v>42225</v>
      </c>
      <c r="L43" s="231"/>
      <c r="M43" s="63">
        <f>SUM($K$43)/$D$9</f>
        <v>0.21112500000000001</v>
      </c>
      <c r="N43" s="64">
        <f>$G$36</f>
        <v>1295.3324648116106</v>
      </c>
      <c r="O43" s="103"/>
      <c r="P43" s="23"/>
      <c r="Q43" s="18"/>
    </row>
    <row r="44" spans="2:25" ht="24.75" customHeight="1">
      <c r="B44" s="65" t="s">
        <v>41</v>
      </c>
      <c r="C44" s="232">
        <f>SUM($E$10)</f>
        <v>264362</v>
      </c>
      <c r="D44" s="233"/>
      <c r="E44" s="66"/>
      <c r="F44" s="234">
        <f>$K$30</f>
        <v>0</v>
      </c>
      <c r="G44" s="235"/>
      <c r="H44" s="235">
        <f>$L$23</f>
        <v>12000</v>
      </c>
      <c r="I44" s="235"/>
      <c r="J44" s="235"/>
      <c r="K44" s="236">
        <f>$C$44-$H$44+$F$44+$O$44</f>
        <v>252362</v>
      </c>
      <c r="L44" s="236"/>
      <c r="M44" s="67">
        <f>SUM($K$44)/D10</f>
        <v>0.63090500000000005</v>
      </c>
      <c r="N44" s="68">
        <f>$G$37</f>
        <v>1567.4292202572594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5:C46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FFFF00"/>
    <pageSetUpPr fitToPage="1"/>
  </sheetPr>
  <dimension ref="B1:Y124"/>
  <sheetViews>
    <sheetView showGridLines="0" topLeftCell="A28" zoomScaleNormal="100" workbookViewId="0">
      <selection activeCell="R46" sqref="R46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SUM('0311'!$K$43:$L$43)</f>
        <v>42225</v>
      </c>
      <c r="F9" s="42">
        <f>SUM(E9)/D9</f>
        <v>0.21112500000000001</v>
      </c>
      <c r="G9" s="10">
        <f>SUM('0311'!$N$43)</f>
        <v>1295.3324648116106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400000</v>
      </c>
      <c r="E10" s="12">
        <f>SUM('0311'!$K$44:$L$44)</f>
        <v>252362</v>
      </c>
      <c r="F10" s="44">
        <f>SUM(E10)/D10</f>
        <v>0.63090500000000005</v>
      </c>
      <c r="G10" s="13">
        <f>SUM('0311'!$N$44)</f>
        <v>1567.4292202572594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36"/>
      <c r="L16" s="37"/>
      <c r="M16" s="37"/>
      <c r="N16" s="94" t="str">
        <f t="shared" ref="N16:N22" si="3">IF(L16="","",($G$10))</f>
        <v/>
      </c>
      <c r="O16" s="95" t="str">
        <f t="shared" ref="O16:O22" si="4">IF(L16="","",(SUM(M16)-N16))</f>
        <v/>
      </c>
      <c r="P16" s="96" t="str">
        <f t="shared" ref="P16:P22" si="5">IF(L16="","",(L16*O16))</f>
        <v/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10"/>
      <c r="L18" s="16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110"/>
      <c r="L19" s="16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0</v>
      </c>
      <c r="M23" s="92"/>
      <c r="N23" s="92"/>
      <c r="O23" s="92"/>
      <c r="P23" s="93">
        <f>SUM(P16:P22)</f>
        <v>0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42225</v>
      </c>
      <c r="D29" s="177"/>
      <c r="E29" s="178">
        <f>$G$9</f>
        <v>1295.3324648116106</v>
      </c>
      <c r="F29" s="178"/>
      <c r="G29" s="177">
        <f>C29*E29</f>
        <v>54695413.326670259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252362</v>
      </c>
      <c r="D30" s="174"/>
      <c r="E30" s="185">
        <f>$G$10</f>
        <v>1567.4292202572594</v>
      </c>
      <c r="F30" s="185"/>
      <c r="G30" s="174">
        <f>C30*E30</f>
        <v>395559572.88256252</v>
      </c>
      <c r="H30" s="175"/>
      <c r="I30" s="17"/>
      <c r="J30" s="50" t="s">
        <v>11</v>
      </c>
      <c r="K30" s="186">
        <v>8038</v>
      </c>
      <c r="L30" s="187"/>
      <c r="M30" s="188">
        <v>1713</v>
      </c>
      <c r="N30" s="189"/>
      <c r="O30" s="174">
        <f>K30*M30</f>
        <v>13769094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42225</v>
      </c>
      <c r="D36" s="177"/>
      <c r="E36" s="177">
        <f>$G$29+$O$29</f>
        <v>54695413.326670259</v>
      </c>
      <c r="F36" s="177"/>
      <c r="G36" s="178">
        <f>E36/C36</f>
        <v>1295.3324648116106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260400</v>
      </c>
      <c r="D37" s="174"/>
      <c r="E37" s="174">
        <f>$G$30+$O$30</f>
        <v>409328666.88256252</v>
      </c>
      <c r="F37" s="174"/>
      <c r="G37" s="185">
        <f>E37/C37</f>
        <v>1571.9226838808083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S42" s="2" t="s">
        <v>10</v>
      </c>
    </row>
    <row r="43" spans="2:25" ht="24" customHeight="1">
      <c r="B43" s="61" t="s">
        <v>40</v>
      </c>
      <c r="C43" s="227">
        <f>SUM($E$9)</f>
        <v>42225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42225</v>
      </c>
      <c r="L43" s="231"/>
      <c r="M43" s="63">
        <f>SUM($K$43)/$D$9</f>
        <v>0.21112500000000001</v>
      </c>
      <c r="N43" s="64">
        <f>$G$36</f>
        <v>1295.3324648116106</v>
      </c>
      <c r="O43" s="103"/>
      <c r="P43" s="23"/>
      <c r="Q43" s="18"/>
    </row>
    <row r="44" spans="2:25" ht="24.75" customHeight="1">
      <c r="B44" s="65" t="s">
        <v>41</v>
      </c>
      <c r="C44" s="232">
        <f>SUM($E$10)</f>
        <v>252362</v>
      </c>
      <c r="D44" s="233"/>
      <c r="E44" s="66"/>
      <c r="F44" s="234">
        <f>$K$30</f>
        <v>8038</v>
      </c>
      <c r="G44" s="235"/>
      <c r="H44" s="235">
        <f>$L$23</f>
        <v>0</v>
      </c>
      <c r="I44" s="235"/>
      <c r="J44" s="235"/>
      <c r="K44" s="236">
        <f>$C$44-$H$44+$F$44+$O$44</f>
        <v>260400</v>
      </c>
      <c r="L44" s="236"/>
      <c r="M44" s="67">
        <f>SUM($K$44)/D10</f>
        <v>0.65100000000000002</v>
      </c>
      <c r="N44" s="68">
        <f>$G$37</f>
        <v>1571.9226838808083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5:C46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FFFF00"/>
    <pageSetUpPr fitToPage="1"/>
  </sheetPr>
  <dimension ref="B1:Y124"/>
  <sheetViews>
    <sheetView showGridLines="0" topLeftCell="A28" zoomScaleNormal="100" workbookViewId="0">
      <selection activeCell="R45" sqref="R45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SUM('0313 (입고)'!$K$43:$L$43)</f>
        <v>42225</v>
      </c>
      <c r="F9" s="42">
        <f>SUM(E9)/D9</f>
        <v>0.21112500000000001</v>
      </c>
      <c r="G9" s="10">
        <f>SUM('0313 (입고)'!$N$43)</f>
        <v>1295.3324648116106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SUM('0313 (입고)'!$K$44:$L$44)</f>
        <v>260400</v>
      </c>
      <c r="F10" s="44">
        <f>SUM(E10)/D10</f>
        <v>0.52080000000000004</v>
      </c>
      <c r="G10" s="13">
        <f>SUM('0313 (입고)'!$N$44)</f>
        <v>1571.9226838808083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36"/>
      <c r="L16" s="37"/>
      <c r="M16" s="37"/>
      <c r="N16" s="94" t="str">
        <f t="shared" ref="N16:N22" si="3">IF(L16="","",($G$10))</f>
        <v/>
      </c>
      <c r="O16" s="95" t="str">
        <f t="shared" ref="O16:O22" si="4">IF(L16="","",(SUM(M16)-N16))</f>
        <v/>
      </c>
      <c r="P16" s="96" t="str">
        <f t="shared" ref="P16:P22" si="5">IF(L16="","",(L16*O16))</f>
        <v/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10"/>
      <c r="L18" s="16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110"/>
      <c r="L19" s="16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0</v>
      </c>
      <c r="M23" s="92"/>
      <c r="N23" s="92"/>
      <c r="O23" s="92"/>
      <c r="P23" s="93">
        <f>SUM(P16:P22)</f>
        <v>0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42225</v>
      </c>
      <c r="D29" s="177"/>
      <c r="E29" s="178">
        <f>$G$9</f>
        <v>1295.3324648116106</v>
      </c>
      <c r="F29" s="178"/>
      <c r="G29" s="177">
        <f>C29*E29</f>
        <v>54695413.326670259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260400</v>
      </c>
      <c r="D30" s="174"/>
      <c r="E30" s="185">
        <f>$G$10</f>
        <v>1571.9226838808083</v>
      </c>
      <c r="F30" s="185"/>
      <c r="G30" s="174">
        <f>C30*E30</f>
        <v>409328666.88256252</v>
      </c>
      <c r="H30" s="175"/>
      <c r="I30" s="17"/>
      <c r="J30" s="50" t="s">
        <v>11</v>
      </c>
      <c r="K30" s="186">
        <v>112591</v>
      </c>
      <c r="L30" s="187"/>
      <c r="M30" s="188">
        <v>1713</v>
      </c>
      <c r="N30" s="189"/>
      <c r="O30" s="174">
        <f>K30*M30</f>
        <v>192868383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42225</v>
      </c>
      <c r="D36" s="177"/>
      <c r="E36" s="177">
        <f>$G$29+$O$29</f>
        <v>54695413.326670259</v>
      </c>
      <c r="F36" s="177"/>
      <c r="G36" s="178">
        <f>E36/C36</f>
        <v>1295.3324648116106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372991</v>
      </c>
      <c r="D37" s="174"/>
      <c r="E37" s="174">
        <f>$G$30+$O$30</f>
        <v>602197049.88256252</v>
      </c>
      <c r="F37" s="174"/>
      <c r="G37" s="185">
        <f>E37/C37</f>
        <v>1614.5082585975601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S42" s="2" t="s">
        <v>10</v>
      </c>
    </row>
    <row r="43" spans="2:25" ht="24" customHeight="1">
      <c r="B43" s="61" t="s">
        <v>40</v>
      </c>
      <c r="C43" s="227">
        <f>SUM($E$9)</f>
        <v>42225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42225</v>
      </c>
      <c r="L43" s="231"/>
      <c r="M43" s="63">
        <f>SUM($K$43)/$D$9</f>
        <v>0.21112500000000001</v>
      </c>
      <c r="N43" s="64">
        <f>$G$36</f>
        <v>1295.3324648116106</v>
      </c>
      <c r="O43" s="103"/>
      <c r="P43" s="23"/>
      <c r="Q43" s="18"/>
    </row>
    <row r="44" spans="2:25" ht="24.75" customHeight="1">
      <c r="B44" s="65" t="s">
        <v>41</v>
      </c>
      <c r="C44" s="232">
        <f>SUM($E$10)</f>
        <v>260400</v>
      </c>
      <c r="D44" s="233"/>
      <c r="E44" s="66"/>
      <c r="F44" s="234">
        <f>$K$30</f>
        <v>112591</v>
      </c>
      <c r="G44" s="235"/>
      <c r="H44" s="235">
        <f>$L$23</f>
        <v>0</v>
      </c>
      <c r="I44" s="235"/>
      <c r="J44" s="235"/>
      <c r="K44" s="236">
        <f>$C$44-$H$44+$F$44+$O$44</f>
        <v>372991</v>
      </c>
      <c r="L44" s="236"/>
      <c r="M44" s="67">
        <f>SUM($K$44)/D10</f>
        <v>0.74598200000000003</v>
      </c>
      <c r="N44" s="68">
        <f>$G$37</f>
        <v>1614.5082585975601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5:C46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FFC000"/>
    <pageSetUpPr fitToPage="1"/>
  </sheetPr>
  <dimension ref="B1:Y124"/>
  <sheetViews>
    <sheetView showGridLines="0" topLeftCell="A25" zoomScaleNormal="100" workbookViewId="0">
      <selection activeCell="P24" sqref="P24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SUM('0314 (입고)'!$K$43:$L$43)</f>
        <v>42225</v>
      </c>
      <c r="F9" s="42">
        <f>SUM(E9)/D9</f>
        <v>0.21112500000000001</v>
      </c>
      <c r="G9" s="10">
        <f>SUM('0314 (입고)'!$N$43)</f>
        <v>1295.3324648116106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SUM('0314 (입고)'!$K$44:$L$44)</f>
        <v>372991</v>
      </c>
      <c r="F10" s="44">
        <f>SUM(E10)/D10</f>
        <v>0.74598200000000003</v>
      </c>
      <c r="G10" s="13">
        <f>SUM('0314 (입고)'!$N$44)</f>
        <v>1614.5082585975601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36"/>
      <c r="L16" s="37"/>
      <c r="M16" s="37"/>
      <c r="N16" s="94" t="str">
        <f t="shared" ref="N16:N22" si="3">IF(L16="","",($G$10))</f>
        <v/>
      </c>
      <c r="O16" s="95" t="str">
        <f t="shared" ref="O16:O22" si="4">IF(L16="","",(SUM(M16)-N16))</f>
        <v/>
      </c>
      <c r="P16" s="96" t="str">
        <f t="shared" ref="P16:P22" si="5">IF(L16="","",(L16*O16))</f>
        <v/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10"/>
      <c r="L18" s="16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110"/>
      <c r="L19" s="16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0</v>
      </c>
      <c r="M23" s="92"/>
      <c r="N23" s="92"/>
      <c r="O23" s="92"/>
      <c r="P23" s="93">
        <f>SUM(P16:P22)</f>
        <v>0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42225</v>
      </c>
      <c r="D29" s="177"/>
      <c r="E29" s="178">
        <f>$G$9</f>
        <v>1295.3324648116106</v>
      </c>
      <c r="F29" s="178"/>
      <c r="G29" s="177">
        <f>C29*E29</f>
        <v>54695413.326670259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372991</v>
      </c>
      <c r="D30" s="174"/>
      <c r="E30" s="185">
        <f>$G$10</f>
        <v>1614.5082585975601</v>
      </c>
      <c r="F30" s="185"/>
      <c r="G30" s="174">
        <f>C30*E30</f>
        <v>602197049.88256252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42225</v>
      </c>
      <c r="D36" s="177"/>
      <c r="E36" s="177">
        <f>$G$29+$O$29</f>
        <v>54695413.326670259</v>
      </c>
      <c r="F36" s="177"/>
      <c r="G36" s="178">
        <f>E36/C36</f>
        <v>1295.3324648116106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>
        <v>46099</v>
      </c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372991</v>
      </c>
      <c r="D37" s="174"/>
      <c r="E37" s="174">
        <f>$G$30+$O$30</f>
        <v>602197049.88256252</v>
      </c>
      <c r="F37" s="174"/>
      <c r="G37" s="185">
        <f>E37/C37</f>
        <v>1614.5082585975601</v>
      </c>
      <c r="H37" s="212"/>
      <c r="I37" s="17"/>
      <c r="J37" s="18"/>
      <c r="K37" s="120"/>
      <c r="L37" s="18"/>
      <c r="M37" s="18"/>
      <c r="N37" s="24"/>
      <c r="O37" s="19"/>
      <c r="P37" s="19"/>
      <c r="R37" s="117" t="s">
        <v>61</v>
      </c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>
        <v>32000</v>
      </c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 t="s">
        <v>62</v>
      </c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S42" s="2" t="s">
        <v>10</v>
      </c>
    </row>
    <row r="43" spans="2:25" ht="24" customHeight="1">
      <c r="B43" s="61" t="s">
        <v>40</v>
      </c>
      <c r="C43" s="227">
        <f>SUM($E$9)</f>
        <v>42225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42225</v>
      </c>
      <c r="L43" s="231"/>
      <c r="M43" s="63">
        <f>SUM($K$43)/$D$9</f>
        <v>0.21112500000000001</v>
      </c>
      <c r="N43" s="64">
        <f>$G$36</f>
        <v>1295.3324648116106</v>
      </c>
      <c r="O43" s="103"/>
      <c r="P43" s="23"/>
      <c r="Q43" s="18"/>
    </row>
    <row r="44" spans="2:25" ht="24.75" customHeight="1">
      <c r="B44" s="65" t="s">
        <v>41</v>
      </c>
      <c r="C44" s="232">
        <f>SUM($E$10)</f>
        <v>372991</v>
      </c>
      <c r="D44" s="233"/>
      <c r="E44" s="66"/>
      <c r="F44" s="234">
        <f>$K$30</f>
        <v>0</v>
      </c>
      <c r="G44" s="235"/>
      <c r="H44" s="235">
        <f>$L$23</f>
        <v>0</v>
      </c>
      <c r="I44" s="235"/>
      <c r="J44" s="235"/>
      <c r="K44" s="236">
        <f>$C$44-$H$44+$F$44+$O$44</f>
        <v>372991</v>
      </c>
      <c r="L44" s="236"/>
      <c r="M44" s="67">
        <f>SUM($K$44)/D10</f>
        <v>0.74598200000000003</v>
      </c>
      <c r="N44" s="68">
        <f>$G$37</f>
        <v>1614.5082585975601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5:C46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FFFF00"/>
    <pageSetUpPr fitToPage="1"/>
  </sheetPr>
  <dimension ref="B1:Y124"/>
  <sheetViews>
    <sheetView showGridLines="0" topLeftCell="A24" zoomScaleNormal="100" workbookViewId="0">
      <selection activeCell="N37" sqref="N37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SUM('0318'!$K$43:$L$43)</f>
        <v>42225</v>
      </c>
      <c r="F9" s="42">
        <f>SUM(E9)/D9</f>
        <v>0.21112500000000001</v>
      </c>
      <c r="G9" s="10">
        <f>SUM('0318'!$N$43)</f>
        <v>1295.3324648116106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SUM('0318'!$K$44:$L$44)</f>
        <v>372991</v>
      </c>
      <c r="F10" s="44">
        <f>SUM(E10)/D10</f>
        <v>0.74598200000000003</v>
      </c>
      <c r="G10" s="13">
        <f>SUM('0318'!$N$44)</f>
        <v>1614.5082585975601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36"/>
      <c r="L16" s="37"/>
      <c r="M16" s="37"/>
      <c r="N16" s="94" t="str">
        <f t="shared" ref="N16:N22" si="3">IF(L16="","",($G$10))</f>
        <v/>
      </c>
      <c r="O16" s="95" t="str">
        <f t="shared" ref="O16:O22" si="4">IF(L16="","",(SUM(M16)-N16))</f>
        <v/>
      </c>
      <c r="P16" s="96" t="str">
        <f t="shared" ref="P16:P22" si="5">IF(L16="","",(L16*O16))</f>
        <v/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10"/>
      <c r="L18" s="16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110"/>
      <c r="L19" s="16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0</v>
      </c>
      <c r="M23" s="92"/>
      <c r="N23" s="92"/>
      <c r="O23" s="92"/>
      <c r="P23" s="93">
        <f>SUM(P16:P22)</f>
        <v>0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42225</v>
      </c>
      <c r="D29" s="177"/>
      <c r="E29" s="178">
        <f>$G$9</f>
        <v>1295.3324648116106</v>
      </c>
      <c r="F29" s="178"/>
      <c r="G29" s="177">
        <f>C29*E29</f>
        <v>54695413.326670259</v>
      </c>
      <c r="H29" s="179"/>
      <c r="I29" s="17"/>
      <c r="J29" s="49" t="s">
        <v>9</v>
      </c>
      <c r="K29" s="180">
        <v>40000</v>
      </c>
      <c r="L29" s="181"/>
      <c r="M29" s="182">
        <v>1320</v>
      </c>
      <c r="N29" s="183"/>
      <c r="O29" s="177">
        <f>K29*M29</f>
        <v>52800000</v>
      </c>
      <c r="P29" s="179"/>
      <c r="R29" s="18"/>
    </row>
    <row r="30" spans="2:18" ht="22.5" customHeight="1">
      <c r="B30" s="50" t="s">
        <v>11</v>
      </c>
      <c r="C30" s="184">
        <f>$E$10-$L$23</f>
        <v>372991</v>
      </c>
      <c r="D30" s="174"/>
      <c r="E30" s="185">
        <f>$G$10</f>
        <v>1614.5082585975601</v>
      </c>
      <c r="F30" s="185"/>
      <c r="G30" s="174">
        <f>C30*E30</f>
        <v>602197049.88256252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82225</v>
      </c>
      <c r="D36" s="177"/>
      <c r="E36" s="177">
        <f>$G$29+$O$29</f>
        <v>107495413.32667026</v>
      </c>
      <c r="F36" s="177"/>
      <c r="G36" s="178">
        <f>E36/C36</f>
        <v>1307.3324819297081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>
        <v>46099</v>
      </c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372991</v>
      </c>
      <c r="D37" s="174"/>
      <c r="E37" s="174">
        <f>$G$30+$O$30</f>
        <v>602197049.88256252</v>
      </c>
      <c r="F37" s="174"/>
      <c r="G37" s="185">
        <f>E37/C37</f>
        <v>1614.5082585975601</v>
      </c>
      <c r="H37" s="212"/>
      <c r="I37" s="17"/>
      <c r="J37" s="18"/>
      <c r="K37" s="120"/>
      <c r="L37" s="18"/>
      <c r="M37" s="18"/>
      <c r="N37" s="24"/>
      <c r="O37" s="19"/>
      <c r="P37" s="19"/>
      <c r="R37" s="117" t="s">
        <v>61</v>
      </c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>
        <v>32000</v>
      </c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 t="s">
        <v>62</v>
      </c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S42" s="2" t="s">
        <v>10</v>
      </c>
    </row>
    <row r="43" spans="2:25" ht="24" customHeight="1">
      <c r="B43" s="61" t="s">
        <v>40</v>
      </c>
      <c r="C43" s="227">
        <f>SUM($E$9)</f>
        <v>42225</v>
      </c>
      <c r="D43" s="228"/>
      <c r="E43" s="62"/>
      <c r="F43" s="229">
        <f>$K$29</f>
        <v>40000</v>
      </c>
      <c r="G43" s="230"/>
      <c r="H43" s="230">
        <f>$D$23</f>
        <v>0</v>
      </c>
      <c r="I43" s="230"/>
      <c r="J43" s="230"/>
      <c r="K43" s="231">
        <f>$C$43-$H$43+$F$43+$O$43</f>
        <v>82225</v>
      </c>
      <c r="L43" s="231"/>
      <c r="M43" s="63">
        <f>SUM($K$43)/$D$9</f>
        <v>0.41112500000000002</v>
      </c>
      <c r="N43" s="64">
        <f>$G$36</f>
        <v>1307.3324819297081</v>
      </c>
      <c r="O43" s="103"/>
      <c r="P43" s="23"/>
      <c r="Q43" s="18"/>
    </row>
    <row r="44" spans="2:25" ht="24.75" customHeight="1">
      <c r="B44" s="65" t="s">
        <v>41</v>
      </c>
      <c r="C44" s="232">
        <f>SUM($E$10)</f>
        <v>372991</v>
      </c>
      <c r="D44" s="233"/>
      <c r="E44" s="66"/>
      <c r="F44" s="234">
        <f>$K$30</f>
        <v>0</v>
      </c>
      <c r="G44" s="235"/>
      <c r="H44" s="235">
        <f>$L$23</f>
        <v>0</v>
      </c>
      <c r="I44" s="235"/>
      <c r="J44" s="235"/>
      <c r="K44" s="236">
        <f>$C$44-$H$44+$F$44+$O$44</f>
        <v>372991</v>
      </c>
      <c r="L44" s="236"/>
      <c r="M44" s="67">
        <f>SUM($K$44)/D10</f>
        <v>0.74598200000000003</v>
      </c>
      <c r="N44" s="68">
        <f>$G$37</f>
        <v>1614.5082585975601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5:C46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B1:Y124"/>
  <sheetViews>
    <sheetView showGridLines="0" topLeftCell="A37" zoomScaleNormal="100" workbookViewId="0">
      <selection activeCell="P49" sqref="P49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SUM('0319 (입고)'!$K$43:$L$43)</f>
        <v>82225</v>
      </c>
      <c r="F9" s="42">
        <f>SUM(E9)/D9</f>
        <v>0.41112500000000002</v>
      </c>
      <c r="G9" s="10">
        <f>SUM('0319 (입고)'!$N$43)</f>
        <v>1307.3324819297081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SUM('0319 (입고)'!$K$44:$L$44)</f>
        <v>372991</v>
      </c>
      <c r="F10" s="44">
        <f>SUM(E10)/D10</f>
        <v>0.74598200000000003</v>
      </c>
      <c r="G10" s="13">
        <f>SUM('0319 (입고)'!$N$44)</f>
        <v>1614.5082585975601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 t="s">
        <v>63</v>
      </c>
      <c r="D16" s="37">
        <v>60000</v>
      </c>
      <c r="E16" s="37"/>
      <c r="F16" s="77">
        <f t="shared" ref="F16:F22" si="0">IF(D16="","",(SUM($G$9)))</f>
        <v>1307.3324819297081</v>
      </c>
      <c r="G16" s="78">
        <f t="shared" ref="G16:G22" si="1">IF(D16="","",(SUM(E16)-F16))</f>
        <v>-1307.3324819297081</v>
      </c>
      <c r="H16" s="79">
        <f t="shared" ref="H16:H22" si="2">IF(D16="","",(D16*G16))</f>
        <v>-78439948.915782481</v>
      </c>
      <c r="I16" s="17"/>
      <c r="J16" s="159" t="s">
        <v>22</v>
      </c>
      <c r="K16" s="36" t="s">
        <v>61</v>
      </c>
      <c r="L16" s="37">
        <v>3000</v>
      </c>
      <c r="M16" s="37"/>
      <c r="N16" s="94">
        <f t="shared" ref="N16:N22" si="3">IF(L16="","",($G$10))</f>
        <v>1614.5082585975601</v>
      </c>
      <c r="O16" s="95">
        <f t="shared" ref="O16:O22" si="4">IF(L16="","",(SUM(M16)-N16))</f>
        <v>-1614.5082585975601</v>
      </c>
      <c r="P16" s="96">
        <f t="shared" ref="P16:P22" si="5">IF(L16="","",(L16*O16))</f>
        <v>-4843524.7757926807</v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10"/>
      <c r="L18" s="16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110"/>
      <c r="L19" s="16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60000</v>
      </c>
      <c r="E23" s="75"/>
      <c r="F23" s="75"/>
      <c r="G23" s="75"/>
      <c r="H23" s="76">
        <f>SUM(H16:H22)</f>
        <v>-78439948.915782481</v>
      </c>
      <c r="I23" s="106"/>
      <c r="J23" s="89" t="s">
        <v>24</v>
      </c>
      <c r="K23" s="90"/>
      <c r="L23" s="91">
        <f>SUM(L16:L22)</f>
        <v>3000</v>
      </c>
      <c r="M23" s="92"/>
      <c r="N23" s="92"/>
      <c r="O23" s="92"/>
      <c r="P23" s="93">
        <f>SUM(P16:P22)</f>
        <v>-4843524.7757926807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22225</v>
      </c>
      <c r="D29" s="177"/>
      <c r="E29" s="178">
        <f>$G$9</f>
        <v>1307.3324819297081</v>
      </c>
      <c r="F29" s="178"/>
      <c r="G29" s="177">
        <f>C29*E29</f>
        <v>29055464.410887763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369991</v>
      </c>
      <c r="D30" s="174"/>
      <c r="E30" s="185">
        <f>$G$10</f>
        <v>1614.5082585975601</v>
      </c>
      <c r="F30" s="185"/>
      <c r="G30" s="174">
        <f>C30*E30</f>
        <v>597353525.10676992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22225</v>
      </c>
      <c r="D36" s="177"/>
      <c r="E36" s="177">
        <f>$G$29+$O$29</f>
        <v>29055464.410887763</v>
      </c>
      <c r="F36" s="177"/>
      <c r="G36" s="178">
        <f>E36/C36</f>
        <v>1307.3324819297081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>
        <v>46099</v>
      </c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369991</v>
      </c>
      <c r="D37" s="174"/>
      <c r="E37" s="174">
        <f>$G$30+$O$30</f>
        <v>597353525.10676992</v>
      </c>
      <c r="F37" s="174"/>
      <c r="G37" s="185">
        <f>E37/C37</f>
        <v>1614.5082585975604</v>
      </c>
      <c r="H37" s="212"/>
      <c r="I37" s="17"/>
      <c r="J37" s="18"/>
      <c r="K37" s="120"/>
      <c r="L37" s="18"/>
      <c r="M37" s="18"/>
      <c r="N37" s="24"/>
      <c r="O37" s="19"/>
      <c r="P37" s="19"/>
      <c r="R37" s="117" t="s">
        <v>61</v>
      </c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>
        <v>32000</v>
      </c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 t="s">
        <v>62</v>
      </c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S42" s="2" t="s">
        <v>10</v>
      </c>
    </row>
    <row r="43" spans="2:25" ht="24" customHeight="1">
      <c r="B43" s="61" t="s">
        <v>40</v>
      </c>
      <c r="C43" s="227">
        <f>SUM($E$9)</f>
        <v>82225</v>
      </c>
      <c r="D43" s="228"/>
      <c r="E43" s="62"/>
      <c r="F43" s="229">
        <f>$K$29</f>
        <v>0</v>
      </c>
      <c r="G43" s="230"/>
      <c r="H43" s="230">
        <f>$D$23</f>
        <v>60000</v>
      </c>
      <c r="I43" s="230"/>
      <c r="J43" s="230"/>
      <c r="K43" s="231">
        <f>$C$43-$H$43+$F$43+$O$43</f>
        <v>22225</v>
      </c>
      <c r="L43" s="231"/>
      <c r="M43" s="63">
        <f>SUM($K$43)/$D$9</f>
        <v>0.111125</v>
      </c>
      <c r="N43" s="64">
        <f>$G$36</f>
        <v>1307.3324819297081</v>
      </c>
      <c r="O43" s="103"/>
      <c r="P43" s="23"/>
      <c r="Q43" s="18"/>
    </row>
    <row r="44" spans="2:25" ht="24.75" customHeight="1">
      <c r="B44" s="65" t="s">
        <v>41</v>
      </c>
      <c r="C44" s="232">
        <f>SUM($E$10)</f>
        <v>372991</v>
      </c>
      <c r="D44" s="233"/>
      <c r="E44" s="66"/>
      <c r="F44" s="234">
        <f>$K$30</f>
        <v>0</v>
      </c>
      <c r="G44" s="235"/>
      <c r="H44" s="235">
        <f>$L$23</f>
        <v>3000</v>
      </c>
      <c r="I44" s="235"/>
      <c r="J44" s="235"/>
      <c r="K44" s="236">
        <f>$C$44-$H$44+$F$44+$O$44</f>
        <v>369991</v>
      </c>
      <c r="L44" s="236"/>
      <c r="M44" s="67">
        <f>SUM($K$44)/D10</f>
        <v>0.73998200000000003</v>
      </c>
      <c r="N44" s="68">
        <f>$G$37</f>
        <v>1614.5082585975604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5:C46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FFFF00"/>
    <pageSetUpPr fitToPage="1"/>
  </sheetPr>
  <dimension ref="B1:Y124"/>
  <sheetViews>
    <sheetView showGridLines="0" topLeftCell="A28" zoomScaleNormal="100" workbookViewId="0">
      <selection activeCell="R46" sqref="R46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SUM('0319'!$K$43:$L$43)</f>
        <v>22225</v>
      </c>
      <c r="F9" s="42">
        <f>SUM(E9)/D9</f>
        <v>0.111125</v>
      </c>
      <c r="G9" s="10">
        <f>SUM('0319'!$N$43)</f>
        <v>1307.3324819297081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SUM('0319'!$K$44:$L$44)</f>
        <v>369991</v>
      </c>
      <c r="F10" s="44">
        <f>SUM(E10)/D10</f>
        <v>0.73998200000000003</v>
      </c>
      <c r="G10" s="13">
        <f>SUM('0319'!$N$44)</f>
        <v>1614.5082585975604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36"/>
      <c r="L16" s="37"/>
      <c r="M16" s="37"/>
      <c r="N16" s="94" t="str">
        <f t="shared" ref="N16:N22" si="3">IF(L16="","",($G$10))</f>
        <v/>
      </c>
      <c r="O16" s="95" t="str">
        <f t="shared" ref="O16:O22" si="4">IF(L16="","",(SUM(M16)-N16))</f>
        <v/>
      </c>
      <c r="P16" s="96" t="str">
        <f t="shared" ref="P16:P22" si="5">IF(L16="","",(L16*O16))</f>
        <v/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10"/>
      <c r="L18" s="16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110"/>
      <c r="L19" s="16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0</v>
      </c>
      <c r="M23" s="92"/>
      <c r="N23" s="92"/>
      <c r="O23" s="92"/>
      <c r="P23" s="93">
        <f>SUM(P16:P22)</f>
        <v>0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22225</v>
      </c>
      <c r="D29" s="177"/>
      <c r="E29" s="178">
        <f>$G$9</f>
        <v>1307.3324819297081</v>
      </c>
      <c r="F29" s="178"/>
      <c r="G29" s="177">
        <f>C29*E29</f>
        <v>29055464.410887763</v>
      </c>
      <c r="H29" s="179"/>
      <c r="I29" s="17"/>
      <c r="J29" s="49" t="s">
        <v>9</v>
      </c>
      <c r="K29" s="180">
        <v>64000</v>
      </c>
      <c r="L29" s="181"/>
      <c r="M29" s="182">
        <v>1320</v>
      </c>
      <c r="N29" s="183"/>
      <c r="O29" s="177">
        <f>K29*M29</f>
        <v>84480000</v>
      </c>
      <c r="P29" s="179"/>
      <c r="R29" s="18"/>
    </row>
    <row r="30" spans="2:18" ht="22.5" customHeight="1">
      <c r="B30" s="50" t="s">
        <v>11</v>
      </c>
      <c r="C30" s="184">
        <f>$E$10-$L$23</f>
        <v>369991</v>
      </c>
      <c r="D30" s="174"/>
      <c r="E30" s="185">
        <f>$G$10</f>
        <v>1614.5082585975604</v>
      </c>
      <c r="F30" s="185"/>
      <c r="G30" s="174">
        <f>C30*E30</f>
        <v>597353525.10676992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86225</v>
      </c>
      <c r="D36" s="177"/>
      <c r="E36" s="177">
        <f>$G$29+$O$29</f>
        <v>113535464.41088776</v>
      </c>
      <c r="F36" s="177"/>
      <c r="G36" s="178">
        <f>E36/C36</f>
        <v>1316.7348728430011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>
        <v>46099</v>
      </c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369991</v>
      </c>
      <c r="D37" s="174"/>
      <c r="E37" s="174">
        <f>$G$30+$O$30</f>
        <v>597353525.10676992</v>
      </c>
      <c r="F37" s="174"/>
      <c r="G37" s="185">
        <f>E37/C37</f>
        <v>1614.5082585975604</v>
      </c>
      <c r="H37" s="212"/>
      <c r="I37" s="17"/>
      <c r="J37" s="18"/>
      <c r="K37" s="120"/>
      <c r="L37" s="18"/>
      <c r="M37" s="18"/>
      <c r="N37" s="24"/>
      <c r="O37" s="19"/>
      <c r="P37" s="19"/>
      <c r="R37" s="117" t="s">
        <v>61</v>
      </c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>
        <v>32000</v>
      </c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 t="s">
        <v>62</v>
      </c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S42" s="2" t="s">
        <v>10</v>
      </c>
    </row>
    <row r="43" spans="2:25" ht="24" customHeight="1">
      <c r="B43" s="61" t="s">
        <v>40</v>
      </c>
      <c r="C43" s="227">
        <f>SUM($E$9)</f>
        <v>22225</v>
      </c>
      <c r="D43" s="228"/>
      <c r="E43" s="62"/>
      <c r="F43" s="229">
        <f>$K$29</f>
        <v>64000</v>
      </c>
      <c r="G43" s="230"/>
      <c r="H43" s="230">
        <f>$D$23</f>
        <v>0</v>
      </c>
      <c r="I43" s="230"/>
      <c r="J43" s="230"/>
      <c r="K43" s="231">
        <f>$C$43-$H$43+$F$43+$O$43</f>
        <v>86225</v>
      </c>
      <c r="L43" s="231"/>
      <c r="M43" s="63">
        <f>SUM($K$43)/$D$9</f>
        <v>0.43112499999999998</v>
      </c>
      <c r="N43" s="64">
        <f>$G$36</f>
        <v>1316.7348728430011</v>
      </c>
      <c r="O43" s="103"/>
      <c r="P43" s="23"/>
      <c r="Q43" s="18"/>
    </row>
    <row r="44" spans="2:25" ht="24.75" customHeight="1">
      <c r="B44" s="65" t="s">
        <v>41</v>
      </c>
      <c r="C44" s="232">
        <f>SUM($E$10)</f>
        <v>369991</v>
      </c>
      <c r="D44" s="233"/>
      <c r="E44" s="66"/>
      <c r="F44" s="234">
        <f>$K$30</f>
        <v>0</v>
      </c>
      <c r="G44" s="235"/>
      <c r="H44" s="235">
        <f>$L$23</f>
        <v>0</v>
      </c>
      <c r="I44" s="235"/>
      <c r="J44" s="235"/>
      <c r="K44" s="236">
        <f>$C$44-$H$44+$F$44+$O$44</f>
        <v>369991</v>
      </c>
      <c r="L44" s="236"/>
      <c r="M44" s="67">
        <f>SUM($K$44)/D10</f>
        <v>0.73998200000000003</v>
      </c>
      <c r="N44" s="68">
        <f>$G$37</f>
        <v>1614.5082585975604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B1:Y124"/>
  <sheetViews>
    <sheetView showGridLines="0" zoomScaleNormal="100" workbookViewId="0">
      <selection activeCell="D9" sqref="D9:G10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SUM('0320 (입고)'!$K$43:$L$43)</f>
        <v>86225</v>
      </c>
      <c r="F9" s="42">
        <f>SUM(E9)/D9</f>
        <v>0.43112499999999998</v>
      </c>
      <c r="G9" s="10">
        <f>SUM('0320 (입고)'!$N$43)</f>
        <v>1316.7348728430011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SUM('0320 (입고)'!$K$44:$L$44)</f>
        <v>369991</v>
      </c>
      <c r="F10" s="44">
        <f>SUM(E10)/D10</f>
        <v>0.73998200000000003</v>
      </c>
      <c r="G10" s="13">
        <f>SUM('0320 (입고)'!$N$44)</f>
        <v>1614.5082585975604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36" t="s">
        <v>61</v>
      </c>
      <c r="L16" s="37">
        <v>3000</v>
      </c>
      <c r="M16" s="37"/>
      <c r="N16" s="94">
        <f t="shared" ref="N16:N22" si="3">IF(L16="","",($G$10))</f>
        <v>1614.5082585975604</v>
      </c>
      <c r="O16" s="95">
        <f t="shared" ref="O16:O22" si="4">IF(L16="","",(SUM(M16)-N16))</f>
        <v>-1614.5082585975604</v>
      </c>
      <c r="P16" s="96">
        <f t="shared" ref="P16:P22" si="5">IF(L16="","",(L16*O16))</f>
        <v>-4843524.7757926807</v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10"/>
      <c r="L18" s="16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110"/>
      <c r="L19" s="16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3000</v>
      </c>
      <c r="M23" s="92"/>
      <c r="N23" s="92"/>
      <c r="O23" s="92"/>
      <c r="P23" s="93">
        <f>SUM(P16:P22)</f>
        <v>-4843524.7757926807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86225</v>
      </c>
      <c r="D29" s="177"/>
      <c r="E29" s="178">
        <f>$G$9</f>
        <v>1316.7348728430011</v>
      </c>
      <c r="F29" s="178"/>
      <c r="G29" s="177">
        <f>C29*E29</f>
        <v>113535464.41088776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366991</v>
      </c>
      <c r="D30" s="174"/>
      <c r="E30" s="185">
        <f>$G$10</f>
        <v>1614.5082585975604</v>
      </c>
      <c r="F30" s="185"/>
      <c r="G30" s="174">
        <f>C30*E30</f>
        <v>592510000.33097732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86225</v>
      </c>
      <c r="D36" s="177"/>
      <c r="E36" s="177">
        <f>$G$29+$O$29</f>
        <v>113535464.41088776</v>
      </c>
      <c r="F36" s="177"/>
      <c r="G36" s="178">
        <f>E36/C36</f>
        <v>1316.7348728430011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>
        <v>46099</v>
      </c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366991</v>
      </c>
      <c r="D37" s="174"/>
      <c r="E37" s="174">
        <f>$G$30+$O$30</f>
        <v>592510000.33097732</v>
      </c>
      <c r="F37" s="174"/>
      <c r="G37" s="185">
        <f>E37/C37</f>
        <v>1614.5082585975606</v>
      </c>
      <c r="H37" s="212"/>
      <c r="I37" s="17"/>
      <c r="J37" s="18"/>
      <c r="K37" s="120"/>
      <c r="L37" s="18"/>
      <c r="M37" s="18"/>
      <c r="N37" s="24"/>
      <c r="O37" s="19"/>
      <c r="P37" s="19"/>
      <c r="R37" s="117" t="s">
        <v>61</v>
      </c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>
        <v>32000</v>
      </c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 t="s">
        <v>62</v>
      </c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S42" s="2" t="s">
        <v>10</v>
      </c>
    </row>
    <row r="43" spans="2:25" ht="24" customHeight="1">
      <c r="B43" s="61" t="s">
        <v>40</v>
      </c>
      <c r="C43" s="227">
        <f>SUM($E$9)</f>
        <v>86225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86225</v>
      </c>
      <c r="L43" s="231"/>
      <c r="M43" s="63">
        <f>SUM($K$43)/$D$9</f>
        <v>0.43112499999999998</v>
      </c>
      <c r="N43" s="64">
        <f>$G$36</f>
        <v>1316.7348728430011</v>
      </c>
      <c r="O43" s="103"/>
      <c r="P43" s="23"/>
      <c r="Q43" s="18"/>
    </row>
    <row r="44" spans="2:25" ht="24.75" customHeight="1">
      <c r="B44" s="65" t="s">
        <v>41</v>
      </c>
      <c r="C44" s="232">
        <f>SUM($E$10)</f>
        <v>369991</v>
      </c>
      <c r="D44" s="233"/>
      <c r="E44" s="66"/>
      <c r="F44" s="234">
        <f>$K$30</f>
        <v>0</v>
      </c>
      <c r="G44" s="235"/>
      <c r="H44" s="235">
        <f>$L$23</f>
        <v>3000</v>
      </c>
      <c r="I44" s="235"/>
      <c r="J44" s="235"/>
      <c r="K44" s="236">
        <f>$C$44-$H$44+$F$44+$O$44</f>
        <v>366991</v>
      </c>
      <c r="L44" s="236"/>
      <c r="M44" s="67">
        <f>SUM($K$44)/D10</f>
        <v>0.73398200000000002</v>
      </c>
      <c r="N44" s="68">
        <f>$G$37</f>
        <v>1614.5082585975606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FFFF00"/>
    <pageSetUpPr fitToPage="1"/>
  </sheetPr>
  <dimension ref="B1:Y124"/>
  <sheetViews>
    <sheetView showGridLines="0" topLeftCell="A19" zoomScaleNormal="100" workbookViewId="0">
      <selection activeCell="P38" sqref="P38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SUM('0320'!$K$43:$L$43)</f>
        <v>86225</v>
      </c>
      <c r="F9" s="42">
        <f>SUM(E9)/D9</f>
        <v>0.43112499999999998</v>
      </c>
      <c r="G9" s="10">
        <f>SUM('0320'!$N$43)</f>
        <v>1316.7348728430011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SUM('0320'!$K$44:$L$44)</f>
        <v>366991</v>
      </c>
      <c r="F10" s="44">
        <f>SUM(E10)/D10</f>
        <v>0.73398200000000002</v>
      </c>
      <c r="G10" s="13">
        <f>SUM('0320'!$N$44)</f>
        <v>1614.5082585975606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36"/>
      <c r="L16" s="37"/>
      <c r="M16" s="37"/>
      <c r="N16" s="94" t="str">
        <f t="shared" ref="N16:N22" si="3">IF(L16="","",($G$10))</f>
        <v/>
      </c>
      <c r="O16" s="95" t="str">
        <f t="shared" ref="O16:O22" si="4">IF(L16="","",(SUM(M16)-N16))</f>
        <v/>
      </c>
      <c r="P16" s="96" t="str">
        <f t="shared" ref="P16:P22" si="5">IF(L16="","",(L16*O16))</f>
        <v/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10"/>
      <c r="L18" s="16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110"/>
      <c r="L19" s="16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0</v>
      </c>
      <c r="M23" s="92"/>
      <c r="N23" s="92"/>
      <c r="O23" s="92"/>
      <c r="P23" s="93">
        <f>SUM(P16:P22)</f>
        <v>0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86225</v>
      </c>
      <c r="D29" s="177"/>
      <c r="E29" s="178">
        <f>$G$9</f>
        <v>1316.7348728430011</v>
      </c>
      <c r="F29" s="178"/>
      <c r="G29" s="177">
        <f>C29*E29</f>
        <v>113535464.41088776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366991</v>
      </c>
      <c r="D30" s="174"/>
      <c r="E30" s="185">
        <f>$G$10</f>
        <v>1614.5082585975606</v>
      </c>
      <c r="F30" s="185"/>
      <c r="G30" s="174">
        <f>C30*E30</f>
        <v>592510000.33097732</v>
      </c>
      <c r="H30" s="175"/>
      <c r="I30" s="17"/>
      <c r="J30" s="50" t="s">
        <v>11</v>
      </c>
      <c r="K30" s="186">
        <v>28000</v>
      </c>
      <c r="L30" s="187"/>
      <c r="M30" s="188">
        <v>1713</v>
      </c>
      <c r="N30" s="189"/>
      <c r="O30" s="174">
        <f>K30*M30</f>
        <v>47964000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86225</v>
      </c>
      <c r="D36" s="177"/>
      <c r="E36" s="177">
        <f>$G$29+$O$29</f>
        <v>113535464.41088776</v>
      </c>
      <c r="F36" s="177"/>
      <c r="G36" s="178">
        <f>E36/C36</f>
        <v>1316.7348728430011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>
        <v>46099</v>
      </c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394991</v>
      </c>
      <c r="D37" s="174"/>
      <c r="E37" s="174">
        <f>$G$30+$O$30</f>
        <v>640474000.33097732</v>
      </c>
      <c r="F37" s="174"/>
      <c r="G37" s="185">
        <f>E37/C37</f>
        <v>1621.4901107391747</v>
      </c>
      <c r="H37" s="212"/>
      <c r="I37" s="17"/>
      <c r="J37" s="18"/>
      <c r="K37" s="120"/>
      <c r="L37" s="18"/>
      <c r="M37" s="18"/>
      <c r="N37" s="24"/>
      <c r="O37" s="19"/>
      <c r="P37" s="19"/>
      <c r="R37" s="117" t="s">
        <v>61</v>
      </c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>
        <v>32000</v>
      </c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 t="s">
        <v>62</v>
      </c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S42" s="2" t="s">
        <v>10</v>
      </c>
    </row>
    <row r="43" spans="2:25" ht="24" customHeight="1">
      <c r="B43" s="61" t="s">
        <v>40</v>
      </c>
      <c r="C43" s="227">
        <f>SUM($E$9)</f>
        <v>86225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86225</v>
      </c>
      <c r="L43" s="231"/>
      <c r="M43" s="63">
        <f>SUM($K$43)/$D$9</f>
        <v>0.43112499999999998</v>
      </c>
      <c r="N43" s="64">
        <f>$G$36</f>
        <v>1316.7348728430011</v>
      </c>
      <c r="O43" s="103"/>
      <c r="P43" s="23"/>
      <c r="Q43" s="18"/>
    </row>
    <row r="44" spans="2:25" ht="24.75" customHeight="1">
      <c r="B44" s="65" t="s">
        <v>41</v>
      </c>
      <c r="C44" s="232">
        <f>SUM($E$10)</f>
        <v>366991</v>
      </c>
      <c r="D44" s="233"/>
      <c r="E44" s="66"/>
      <c r="F44" s="234">
        <f>$K$30</f>
        <v>28000</v>
      </c>
      <c r="G44" s="235"/>
      <c r="H44" s="235">
        <f>$L$23</f>
        <v>0</v>
      </c>
      <c r="I44" s="235"/>
      <c r="J44" s="235"/>
      <c r="K44" s="236">
        <f>$C$44-$H$44+$F$44+$O$44</f>
        <v>394991</v>
      </c>
      <c r="L44" s="236"/>
      <c r="M44" s="67">
        <f>SUM($K$44)/D10</f>
        <v>0.78998199999999996</v>
      </c>
      <c r="N44" s="68">
        <f>$G$37</f>
        <v>1621.4901107391747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B1:Y124"/>
  <sheetViews>
    <sheetView showGridLines="0" topLeftCell="A28" zoomScaleNormal="100" workbookViewId="0">
      <selection activeCell="Q45" sqref="Q45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SUM('0321 (입고)'!$K$43:$L$43)</f>
        <v>86225</v>
      </c>
      <c r="F9" s="42">
        <f>SUM(E9)/D9</f>
        <v>0.43112499999999998</v>
      </c>
      <c r="G9" s="10">
        <f>SUM('0321 (입고)'!$N$43)</f>
        <v>1316.7348728430011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SUM('0321 (입고)'!$K$44:$L$44)</f>
        <v>394991</v>
      </c>
      <c r="F10" s="44">
        <f>SUM(E10)/D10</f>
        <v>0.78998199999999996</v>
      </c>
      <c r="G10" s="13">
        <f>SUM('0321 (입고)'!$N$44)</f>
        <v>1621.4901107391747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 t="s">
        <v>64</v>
      </c>
      <c r="D16" s="37">
        <v>20000</v>
      </c>
      <c r="E16" s="37"/>
      <c r="F16" s="77">
        <f t="shared" ref="F16:F22" si="0">IF(D16="","",(SUM($G$9)))</f>
        <v>1316.7348728430011</v>
      </c>
      <c r="G16" s="78">
        <f t="shared" ref="G16:G22" si="1">IF(D16="","",(SUM(E16)-F16))</f>
        <v>-1316.7348728430011</v>
      </c>
      <c r="H16" s="79">
        <f t="shared" ref="H16:H22" si="2">IF(D16="","",(D16*G16))</f>
        <v>-26334697.456860021</v>
      </c>
      <c r="I16" s="17"/>
      <c r="J16" s="159" t="s">
        <v>22</v>
      </c>
      <c r="K16" s="36"/>
      <c r="L16" s="37"/>
      <c r="M16" s="37"/>
      <c r="N16" s="94" t="str">
        <f t="shared" ref="N16:N22" si="3">IF(L16="","",($G$10))</f>
        <v/>
      </c>
      <c r="O16" s="95" t="str">
        <f t="shared" ref="O16:O22" si="4">IF(L16="","",(SUM(M16)-N16))</f>
        <v/>
      </c>
      <c r="P16" s="96" t="str">
        <f t="shared" ref="P16:P22" si="5">IF(L16="","",(L16*O16))</f>
        <v/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10"/>
      <c r="L18" s="16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110"/>
      <c r="L19" s="16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20000</v>
      </c>
      <c r="E23" s="75"/>
      <c r="F23" s="75"/>
      <c r="G23" s="75"/>
      <c r="H23" s="76">
        <f>SUM(H16:H22)</f>
        <v>-26334697.456860021</v>
      </c>
      <c r="I23" s="106"/>
      <c r="J23" s="89" t="s">
        <v>24</v>
      </c>
      <c r="K23" s="90"/>
      <c r="L23" s="91">
        <f>SUM(L16:L22)</f>
        <v>0</v>
      </c>
      <c r="M23" s="92"/>
      <c r="N23" s="92"/>
      <c r="O23" s="92"/>
      <c r="P23" s="93">
        <f>SUM(P16:P22)</f>
        <v>0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66225</v>
      </c>
      <c r="D29" s="177"/>
      <c r="E29" s="178">
        <f>$G$9</f>
        <v>1316.7348728430011</v>
      </c>
      <c r="F29" s="178"/>
      <c r="G29" s="177">
        <f>C29*E29</f>
        <v>87200766.954027742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394991</v>
      </c>
      <c r="D30" s="174"/>
      <c r="E30" s="185">
        <f>$G$10</f>
        <v>1621.4901107391747</v>
      </c>
      <c r="F30" s="185"/>
      <c r="G30" s="174">
        <f>C30*E30</f>
        <v>640474000.33097732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66225</v>
      </c>
      <c r="D36" s="177"/>
      <c r="E36" s="177">
        <f>$G$29+$O$29</f>
        <v>87200766.954027742</v>
      </c>
      <c r="F36" s="177"/>
      <c r="G36" s="178">
        <f>E36/C36</f>
        <v>1316.7348728430011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>
        <v>46099</v>
      </c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394991</v>
      </c>
      <c r="D37" s="174"/>
      <c r="E37" s="174">
        <f>$G$30+$O$30</f>
        <v>640474000.33097732</v>
      </c>
      <c r="F37" s="174"/>
      <c r="G37" s="185">
        <f>E37/C37</f>
        <v>1621.4901107391747</v>
      </c>
      <c r="H37" s="212"/>
      <c r="I37" s="17"/>
      <c r="J37" s="18"/>
      <c r="K37" s="120"/>
      <c r="L37" s="18"/>
      <c r="M37" s="18"/>
      <c r="N37" s="24"/>
      <c r="O37" s="19"/>
      <c r="P37" s="19"/>
      <c r="R37" s="117" t="s">
        <v>61</v>
      </c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>
        <v>32000</v>
      </c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 t="s">
        <v>62</v>
      </c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S42" s="2" t="s">
        <v>10</v>
      </c>
    </row>
    <row r="43" spans="2:25" ht="24" customHeight="1">
      <c r="B43" s="61" t="s">
        <v>40</v>
      </c>
      <c r="C43" s="227">
        <f>SUM($E$9)</f>
        <v>86225</v>
      </c>
      <c r="D43" s="228"/>
      <c r="E43" s="62"/>
      <c r="F43" s="229">
        <f>$K$29</f>
        <v>0</v>
      </c>
      <c r="G43" s="230"/>
      <c r="H43" s="230">
        <f>$D$23</f>
        <v>20000</v>
      </c>
      <c r="I43" s="230"/>
      <c r="J43" s="230"/>
      <c r="K43" s="231">
        <f>$C$43-$H$43+$F$43+$O$43</f>
        <v>66225</v>
      </c>
      <c r="L43" s="231"/>
      <c r="M43" s="63">
        <f>SUM($K$43)/$D$9</f>
        <v>0.331125</v>
      </c>
      <c r="N43" s="64">
        <f>$G$36</f>
        <v>1316.7348728430011</v>
      </c>
      <c r="O43" s="103"/>
      <c r="P43" s="23"/>
      <c r="Q43" s="18"/>
    </row>
    <row r="44" spans="2:25" ht="24.75" customHeight="1">
      <c r="B44" s="65" t="s">
        <v>41</v>
      </c>
      <c r="C44" s="232">
        <f>SUM($E$10)</f>
        <v>394991</v>
      </c>
      <c r="D44" s="233"/>
      <c r="E44" s="66"/>
      <c r="F44" s="234">
        <f>$K$30</f>
        <v>0</v>
      </c>
      <c r="G44" s="235"/>
      <c r="H44" s="235">
        <f>$L$23</f>
        <v>0</v>
      </c>
      <c r="I44" s="235"/>
      <c r="J44" s="235"/>
      <c r="K44" s="236">
        <f>$C$44-$H$44+$F$44+$O$44</f>
        <v>394991</v>
      </c>
      <c r="L44" s="236"/>
      <c r="M44" s="67">
        <f>SUM($K$44)/D10</f>
        <v>0.78998199999999996</v>
      </c>
      <c r="N44" s="68">
        <f>$G$37</f>
        <v>1621.4901107391747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FFFF00"/>
    <pageSetUpPr fitToPage="1"/>
  </sheetPr>
  <dimension ref="B1:Y124"/>
  <sheetViews>
    <sheetView showGridLines="0" topLeftCell="A21" zoomScaleNormal="100" workbookViewId="0">
      <selection activeCell="T36" sqref="T36:U39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SUM('0321'!$K$43:$L$43)</f>
        <v>66225</v>
      </c>
      <c r="F9" s="42">
        <f>SUM(E9)/D9</f>
        <v>0.331125</v>
      </c>
      <c r="G9" s="10">
        <f>SUM('0321'!$N$43)</f>
        <v>1316.7348728430011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SUM('0321'!$K$44:$L$44)</f>
        <v>394991</v>
      </c>
      <c r="F10" s="44">
        <f>SUM(E10)/D10</f>
        <v>0.78998199999999996</v>
      </c>
      <c r="G10" s="13">
        <f>SUM('0321'!$N$44)</f>
        <v>1621.4901107391747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36"/>
      <c r="L16" s="37"/>
      <c r="M16" s="37"/>
      <c r="N16" s="94" t="str">
        <f t="shared" ref="N16:N22" si="3">IF(L16="","",($G$10))</f>
        <v/>
      </c>
      <c r="O16" s="95" t="str">
        <f t="shared" ref="O16:O22" si="4">IF(L16="","",(SUM(M16)-N16))</f>
        <v/>
      </c>
      <c r="P16" s="96" t="str">
        <f t="shared" ref="P16:P22" si="5">IF(L16="","",(L16*O16))</f>
        <v/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10"/>
      <c r="L18" s="16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110"/>
      <c r="L19" s="16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0</v>
      </c>
      <c r="M23" s="92"/>
      <c r="N23" s="92"/>
      <c r="O23" s="92"/>
      <c r="P23" s="93">
        <f>SUM(P16:P22)</f>
        <v>0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66225</v>
      </c>
      <c r="D29" s="177"/>
      <c r="E29" s="178">
        <f>$G$9</f>
        <v>1316.7348728430011</v>
      </c>
      <c r="F29" s="178"/>
      <c r="G29" s="177">
        <f>C29*E29</f>
        <v>87200766.954027742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394991</v>
      </c>
      <c r="D30" s="174"/>
      <c r="E30" s="185">
        <f>$G$10</f>
        <v>1621.4901107391747</v>
      </c>
      <c r="F30" s="185"/>
      <c r="G30" s="174">
        <f>C30*E30</f>
        <v>640474000.33097732</v>
      </c>
      <c r="H30" s="175"/>
      <c r="I30" s="17"/>
      <c r="J30" s="50" t="s">
        <v>11</v>
      </c>
      <c r="K30" s="186">
        <v>8000</v>
      </c>
      <c r="L30" s="187"/>
      <c r="M30" s="188">
        <v>1713</v>
      </c>
      <c r="N30" s="189"/>
      <c r="O30" s="174">
        <f>K30*M30</f>
        <v>13704000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66225</v>
      </c>
      <c r="D36" s="177"/>
      <c r="E36" s="177">
        <f>$G$29+$O$29</f>
        <v>87200766.954027742</v>
      </c>
      <c r="F36" s="177"/>
      <c r="G36" s="178">
        <f>E36/C36</f>
        <v>1316.7348728430011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>
        <v>46099</v>
      </c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402991</v>
      </c>
      <c r="D37" s="174"/>
      <c r="E37" s="174">
        <f>$G$30+$O$30</f>
        <v>654178000.33097732</v>
      </c>
      <c r="F37" s="174"/>
      <c r="G37" s="185">
        <f>E37/C37</f>
        <v>1623.3067247928052</v>
      </c>
      <c r="H37" s="212"/>
      <c r="I37" s="17"/>
      <c r="J37" s="18"/>
      <c r="K37" s="120"/>
      <c r="L37" s="18"/>
      <c r="M37" s="18"/>
      <c r="N37" s="24"/>
      <c r="O37" s="19"/>
      <c r="P37" s="19"/>
      <c r="R37" s="117" t="s">
        <v>61</v>
      </c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>
        <v>32000</v>
      </c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 t="s">
        <v>62</v>
      </c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S42" s="2" t="s">
        <v>10</v>
      </c>
    </row>
    <row r="43" spans="2:25" ht="24" customHeight="1">
      <c r="B43" s="61" t="s">
        <v>40</v>
      </c>
      <c r="C43" s="227">
        <f>SUM($E$9)</f>
        <v>66225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66225</v>
      </c>
      <c r="L43" s="231"/>
      <c r="M43" s="63">
        <f>SUM($K$43)/$D$9</f>
        <v>0.331125</v>
      </c>
      <c r="N43" s="64">
        <f>$G$36</f>
        <v>1316.7348728430011</v>
      </c>
      <c r="O43" s="103"/>
      <c r="P43" s="23"/>
      <c r="Q43" s="18"/>
    </row>
    <row r="44" spans="2:25" ht="24.75" customHeight="1">
      <c r="B44" s="65" t="s">
        <v>41</v>
      </c>
      <c r="C44" s="232">
        <f>SUM($E$10)</f>
        <v>394991</v>
      </c>
      <c r="D44" s="233"/>
      <c r="E44" s="66"/>
      <c r="F44" s="234">
        <f>$K$30</f>
        <v>8000</v>
      </c>
      <c r="G44" s="235"/>
      <c r="H44" s="235">
        <f>$L$23</f>
        <v>0</v>
      </c>
      <c r="I44" s="235"/>
      <c r="J44" s="235"/>
      <c r="K44" s="236">
        <f>$C$44-$H$44+$F$44+$O$44</f>
        <v>402991</v>
      </c>
      <c r="L44" s="236"/>
      <c r="M44" s="67">
        <f>SUM($K$44)/D10</f>
        <v>0.80598199999999998</v>
      </c>
      <c r="N44" s="68">
        <f>$G$37</f>
        <v>1623.3067247928052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B1:Y124"/>
  <sheetViews>
    <sheetView showGridLines="0" topLeftCell="A28" zoomScaleNormal="100" workbookViewId="0">
      <selection activeCell="T36" sqref="T36:U39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SUM('0323 (입고)'!$K$43:$L$43)</f>
        <v>66225</v>
      </c>
      <c r="F9" s="42">
        <f>SUM(E9)/D9</f>
        <v>0.331125</v>
      </c>
      <c r="G9" s="10">
        <f>SUM('0323 (입고)'!$N$43)</f>
        <v>1316.7348728430011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SUM('0323 (입고)'!$K$44:$L$44)</f>
        <v>402991</v>
      </c>
      <c r="F10" s="44">
        <f>SUM(E10)/D10</f>
        <v>0.80598199999999998</v>
      </c>
      <c r="G10" s="13">
        <f>SUM('0323 (입고)'!$N$44)</f>
        <v>1623.3067247928052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 t="s">
        <v>61</v>
      </c>
      <c r="D16" s="37">
        <v>3000</v>
      </c>
      <c r="E16" s="37"/>
      <c r="F16" s="77">
        <f t="shared" ref="F16:F22" si="0">IF(D16="","",(SUM($G$9)))</f>
        <v>1316.7348728430011</v>
      </c>
      <c r="G16" s="78">
        <f t="shared" ref="G16:G22" si="1">IF(D16="","",(SUM(E16)-F16))</f>
        <v>-1316.7348728430011</v>
      </c>
      <c r="H16" s="79">
        <f t="shared" ref="H16:H22" si="2">IF(D16="","",(D16*G16))</f>
        <v>-3950204.6185290031</v>
      </c>
      <c r="I16" s="17"/>
      <c r="J16" s="159" t="s">
        <v>22</v>
      </c>
      <c r="K16" s="36"/>
      <c r="L16" s="37"/>
      <c r="M16" s="37"/>
      <c r="N16" s="94" t="str">
        <f t="shared" ref="N16:N22" si="3">IF(L16="","",($G$10))</f>
        <v/>
      </c>
      <c r="O16" s="95" t="str">
        <f t="shared" ref="O16:O22" si="4">IF(L16="","",(SUM(M16)-N16))</f>
        <v/>
      </c>
      <c r="P16" s="96" t="str">
        <f t="shared" ref="P16:P22" si="5">IF(L16="","",(L16*O16))</f>
        <v/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10"/>
      <c r="L18" s="16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110"/>
      <c r="L19" s="16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3000</v>
      </c>
      <c r="E23" s="75"/>
      <c r="F23" s="75"/>
      <c r="G23" s="75"/>
      <c r="H23" s="76">
        <f>SUM(H16:H22)</f>
        <v>-3950204.6185290031</v>
      </c>
      <c r="I23" s="106"/>
      <c r="J23" s="89" t="s">
        <v>24</v>
      </c>
      <c r="K23" s="90"/>
      <c r="L23" s="91">
        <f>SUM(L16:L22)</f>
        <v>0</v>
      </c>
      <c r="M23" s="92"/>
      <c r="N23" s="92"/>
      <c r="O23" s="92"/>
      <c r="P23" s="93">
        <f>SUM(P16:P22)</f>
        <v>0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63225</v>
      </c>
      <c r="D29" s="177"/>
      <c r="E29" s="178">
        <f>$G$9</f>
        <v>1316.7348728430011</v>
      </c>
      <c r="F29" s="178"/>
      <c r="G29" s="177">
        <f>C29*E29</f>
        <v>83250562.33549875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402991</v>
      </c>
      <c r="D30" s="174"/>
      <c r="E30" s="185">
        <f>$G$10</f>
        <v>1623.3067247928052</v>
      </c>
      <c r="F30" s="185"/>
      <c r="G30" s="174">
        <f>C30*E30</f>
        <v>654178000.33097732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63225</v>
      </c>
      <c r="D36" s="177"/>
      <c r="E36" s="177">
        <f>$G$29+$O$29</f>
        <v>83250562.33549875</v>
      </c>
      <c r="F36" s="177"/>
      <c r="G36" s="178">
        <f>E36/C36</f>
        <v>1316.7348728430011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>
        <v>46099</v>
      </c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402991</v>
      </c>
      <c r="D37" s="174"/>
      <c r="E37" s="174">
        <f>$G$30+$O$30</f>
        <v>654178000.33097732</v>
      </c>
      <c r="F37" s="174"/>
      <c r="G37" s="185">
        <f>E37/C37</f>
        <v>1623.3067247928052</v>
      </c>
      <c r="H37" s="212"/>
      <c r="I37" s="17"/>
      <c r="J37" s="18"/>
      <c r="K37" s="120"/>
      <c r="L37" s="18"/>
      <c r="M37" s="18"/>
      <c r="N37" s="24"/>
      <c r="O37" s="19"/>
      <c r="P37" s="19"/>
      <c r="R37" s="117" t="s">
        <v>61</v>
      </c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>
        <v>32000</v>
      </c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 t="s">
        <v>62</v>
      </c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S42" s="2" t="s">
        <v>10</v>
      </c>
    </row>
    <row r="43" spans="2:25" ht="24" customHeight="1">
      <c r="B43" s="61" t="s">
        <v>40</v>
      </c>
      <c r="C43" s="227">
        <f>SUM($E$9)</f>
        <v>66225</v>
      </c>
      <c r="D43" s="228"/>
      <c r="E43" s="62"/>
      <c r="F43" s="229">
        <f>$K$29</f>
        <v>0</v>
      </c>
      <c r="G43" s="230"/>
      <c r="H43" s="230">
        <f>$D$23</f>
        <v>3000</v>
      </c>
      <c r="I43" s="230"/>
      <c r="J43" s="230"/>
      <c r="K43" s="231">
        <f>$C$43-$H$43+$F$43+$O$43</f>
        <v>63225</v>
      </c>
      <c r="L43" s="231"/>
      <c r="M43" s="63">
        <f>SUM($K$43)/$D$9</f>
        <v>0.31612499999999999</v>
      </c>
      <c r="N43" s="64">
        <f>$G$36</f>
        <v>1316.7348728430011</v>
      </c>
      <c r="O43" s="103"/>
      <c r="P43" s="23"/>
      <c r="Q43" s="18"/>
    </row>
    <row r="44" spans="2:25" ht="24.75" customHeight="1">
      <c r="B44" s="65" t="s">
        <v>41</v>
      </c>
      <c r="C44" s="232">
        <f>SUM($E$10)</f>
        <v>402991</v>
      </c>
      <c r="D44" s="233"/>
      <c r="E44" s="66"/>
      <c r="F44" s="234">
        <f>$K$30</f>
        <v>0</v>
      </c>
      <c r="G44" s="235"/>
      <c r="H44" s="235">
        <f>$L$23</f>
        <v>0</v>
      </c>
      <c r="I44" s="235"/>
      <c r="J44" s="235"/>
      <c r="K44" s="236">
        <f>$C$44-$H$44+$F$44+$O$44</f>
        <v>402991</v>
      </c>
      <c r="L44" s="236"/>
      <c r="M44" s="67">
        <f>SUM($K$44)/D10</f>
        <v>0.80598199999999998</v>
      </c>
      <c r="N44" s="68">
        <f>$G$37</f>
        <v>1623.3067247928052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FFFF00"/>
    <pageSetUpPr fitToPage="1"/>
  </sheetPr>
  <dimension ref="B1:Y124"/>
  <sheetViews>
    <sheetView showGridLines="0" topLeftCell="A22" zoomScaleNormal="100" workbookViewId="0">
      <selection activeCell="T36" sqref="T36:U39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SUM('0324'!$K$43:$L$43)</f>
        <v>63225</v>
      </c>
      <c r="F9" s="42">
        <f>SUM(E9)/D9</f>
        <v>0.31612499999999999</v>
      </c>
      <c r="G9" s="10">
        <f>SUM('0324'!$N$43)</f>
        <v>1316.7348728430011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SUM('0324'!$K$44:$L$44)</f>
        <v>402991</v>
      </c>
      <c r="F10" s="44">
        <f>SUM(E10)/D10</f>
        <v>0.80598199999999998</v>
      </c>
      <c r="G10" s="13">
        <f>SUM('0324'!$N$44)</f>
        <v>1623.3067247928052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36"/>
      <c r="L16" s="37"/>
      <c r="M16" s="37"/>
      <c r="N16" s="94" t="str">
        <f t="shared" ref="N16:N22" si="3">IF(L16="","",($G$10))</f>
        <v/>
      </c>
      <c r="O16" s="95" t="str">
        <f t="shared" ref="O16:O22" si="4">IF(L16="","",(SUM(M16)-N16))</f>
        <v/>
      </c>
      <c r="P16" s="96" t="str">
        <f t="shared" ref="P16:P22" si="5">IF(L16="","",(L16*O16))</f>
        <v/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10"/>
      <c r="L18" s="16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110"/>
      <c r="L19" s="16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0</v>
      </c>
      <c r="M23" s="92"/>
      <c r="N23" s="92"/>
      <c r="O23" s="92"/>
      <c r="P23" s="93">
        <f>SUM(P16:P22)</f>
        <v>0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63225</v>
      </c>
      <c r="D29" s="177"/>
      <c r="E29" s="178">
        <f>$G$9</f>
        <v>1316.7348728430011</v>
      </c>
      <c r="F29" s="178"/>
      <c r="G29" s="177">
        <f>C29*E29</f>
        <v>83250562.33549875</v>
      </c>
      <c r="H29" s="179"/>
      <c r="I29" s="17"/>
      <c r="J29" s="49" t="s">
        <v>9</v>
      </c>
      <c r="K29" s="180">
        <v>58000</v>
      </c>
      <c r="L29" s="181"/>
      <c r="M29" s="182">
        <v>1320</v>
      </c>
      <c r="N29" s="183"/>
      <c r="O29" s="177">
        <f>K29*M29</f>
        <v>76560000</v>
      </c>
      <c r="P29" s="179"/>
      <c r="R29" s="18"/>
    </row>
    <row r="30" spans="2:18" ht="22.5" customHeight="1">
      <c r="B30" s="50" t="s">
        <v>11</v>
      </c>
      <c r="C30" s="184">
        <f>$E$10-$L$23</f>
        <v>402991</v>
      </c>
      <c r="D30" s="174"/>
      <c r="E30" s="185">
        <f>$G$10</f>
        <v>1623.3067247928052</v>
      </c>
      <c r="F30" s="185"/>
      <c r="G30" s="174">
        <f>C30*E30</f>
        <v>654178000.33097732</v>
      </c>
      <c r="H30" s="175"/>
      <c r="I30" s="17"/>
      <c r="J30" s="50" t="s">
        <v>11</v>
      </c>
      <c r="K30" s="186">
        <v>96000</v>
      </c>
      <c r="L30" s="187"/>
      <c r="M30" s="188">
        <v>1713</v>
      </c>
      <c r="N30" s="189"/>
      <c r="O30" s="174">
        <f>K30*M30</f>
        <v>164448000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121225</v>
      </c>
      <c r="D36" s="177"/>
      <c r="E36" s="177">
        <f>$G$29+$O$29</f>
        <v>159810562.33549875</v>
      </c>
      <c r="F36" s="177"/>
      <c r="G36" s="178">
        <f>E36/C36</f>
        <v>1318.2970702041555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>
        <v>46099</v>
      </c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498991</v>
      </c>
      <c r="D37" s="174"/>
      <c r="E37" s="174">
        <f>$G$30+$O$30</f>
        <v>818626000.33097732</v>
      </c>
      <c r="F37" s="174"/>
      <c r="G37" s="185">
        <f>E37/C37</f>
        <v>1640.5626561019685</v>
      </c>
      <c r="H37" s="212"/>
      <c r="I37" s="17"/>
      <c r="J37" s="18"/>
      <c r="K37" s="120"/>
      <c r="L37" s="18"/>
      <c r="M37" s="18"/>
      <c r="N37" s="24"/>
      <c r="O37" s="19"/>
      <c r="P37" s="19"/>
      <c r="R37" s="117" t="s">
        <v>61</v>
      </c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>
        <v>32000</v>
      </c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 t="s">
        <v>62</v>
      </c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S42" s="2" t="s">
        <v>10</v>
      </c>
    </row>
    <row r="43" spans="2:25" ht="24" customHeight="1">
      <c r="B43" s="61" t="s">
        <v>40</v>
      </c>
      <c r="C43" s="227">
        <f>SUM($E$9)</f>
        <v>63225</v>
      </c>
      <c r="D43" s="228"/>
      <c r="E43" s="62"/>
      <c r="F43" s="229">
        <f>$K$29</f>
        <v>58000</v>
      </c>
      <c r="G43" s="230"/>
      <c r="H43" s="230">
        <f>$D$23</f>
        <v>0</v>
      </c>
      <c r="I43" s="230"/>
      <c r="J43" s="230"/>
      <c r="K43" s="231">
        <f>$C$43-$H$43+$F$43+$O$43</f>
        <v>121225</v>
      </c>
      <c r="L43" s="231"/>
      <c r="M43" s="63">
        <f>SUM($K$43)/$D$9</f>
        <v>0.60612500000000002</v>
      </c>
      <c r="N43" s="64">
        <f>$G$36</f>
        <v>1318.2970702041555</v>
      </c>
      <c r="O43" s="103"/>
      <c r="P43" s="23"/>
      <c r="Q43" s="18"/>
    </row>
    <row r="44" spans="2:25" ht="24.75" customHeight="1">
      <c r="B44" s="65" t="s">
        <v>41</v>
      </c>
      <c r="C44" s="232">
        <f>SUM($E$10)</f>
        <v>402991</v>
      </c>
      <c r="D44" s="233"/>
      <c r="E44" s="66"/>
      <c r="F44" s="234">
        <f>$K$30</f>
        <v>96000</v>
      </c>
      <c r="G44" s="235"/>
      <c r="H44" s="235">
        <f>$L$23</f>
        <v>0</v>
      </c>
      <c r="I44" s="235"/>
      <c r="J44" s="235"/>
      <c r="K44" s="236">
        <f>$C$44-$H$44+$F$44+$O$44</f>
        <v>498991</v>
      </c>
      <c r="L44" s="236"/>
      <c r="M44" s="67">
        <f>SUM($K$44)/D10</f>
        <v>0.99798200000000004</v>
      </c>
      <c r="N44" s="68">
        <f>$G$37</f>
        <v>1640.5626561019685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B1:Y124"/>
  <sheetViews>
    <sheetView showGridLines="0" topLeftCell="A28" zoomScaleNormal="100" workbookViewId="0">
      <selection activeCell="T36" sqref="T36:U39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SUM('0325 (입고)'!$K$43:$L$43)</f>
        <v>121225</v>
      </c>
      <c r="F9" s="42">
        <f>SUM(E9)/D9</f>
        <v>0.60612500000000002</v>
      </c>
      <c r="G9" s="10">
        <f>SUM('0325 (입고)'!$N$43)</f>
        <v>1318.2970702041555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SUM('0325 (입고)'!$K$44:$L$44)</f>
        <v>498991</v>
      </c>
      <c r="F10" s="44">
        <f>SUM(E10)/D10</f>
        <v>0.99798200000000004</v>
      </c>
      <c r="G10" s="13">
        <f>SUM('0325 (입고)'!$N$44)</f>
        <v>1640.5626561019685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 t="s">
        <v>65</v>
      </c>
      <c r="D16" s="37">
        <v>28000</v>
      </c>
      <c r="E16" s="37"/>
      <c r="F16" s="77">
        <f t="shared" ref="F16:F22" si="0">IF(D16="","",(SUM($G$9)))</f>
        <v>1318.2970702041555</v>
      </c>
      <c r="G16" s="78">
        <f t="shared" ref="G16:G22" si="1">IF(D16="","",(SUM(E16)-F16))</f>
        <v>-1318.2970702041555</v>
      </c>
      <c r="H16" s="79">
        <f t="shared" ref="H16:H22" si="2">IF(D16="","",(D16*G16))</f>
        <v>-36912317.965716355</v>
      </c>
      <c r="I16" s="17"/>
      <c r="J16" s="159" t="s">
        <v>22</v>
      </c>
      <c r="K16" s="36" t="s">
        <v>66</v>
      </c>
      <c r="L16" s="37">
        <v>12000</v>
      </c>
      <c r="M16" s="37"/>
      <c r="N16" s="94">
        <f t="shared" ref="N16:N22" si="3">IF(L16="","",($G$10))</f>
        <v>1640.5626561019685</v>
      </c>
      <c r="O16" s="95">
        <f t="shared" ref="O16:O22" si="4">IF(L16="","",(SUM(M16)-N16))</f>
        <v>-1640.5626561019685</v>
      </c>
      <c r="P16" s="96">
        <f t="shared" ref="P16:P22" si="5">IF(L16="","",(L16*O16))</f>
        <v>-19686751.873223621</v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 t="s">
        <v>61</v>
      </c>
      <c r="L17" s="16">
        <v>20000</v>
      </c>
      <c r="M17" s="16"/>
      <c r="N17" s="97">
        <f t="shared" si="3"/>
        <v>1640.5626561019685</v>
      </c>
      <c r="O17" s="98">
        <f t="shared" si="4"/>
        <v>-1640.5626561019685</v>
      </c>
      <c r="P17" s="99">
        <f t="shared" si="5"/>
        <v>-32811253.12203937</v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10" t="s">
        <v>67</v>
      </c>
      <c r="L18" s="16">
        <v>32000</v>
      </c>
      <c r="M18" s="16"/>
      <c r="N18" s="97">
        <f t="shared" si="3"/>
        <v>1640.5626561019685</v>
      </c>
      <c r="O18" s="98">
        <f t="shared" si="4"/>
        <v>-1640.5626561019685</v>
      </c>
      <c r="P18" s="99">
        <f t="shared" si="5"/>
        <v>-52498004.995262995</v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110" t="s">
        <v>68</v>
      </c>
      <c r="L19" s="16">
        <v>32000</v>
      </c>
      <c r="M19" s="16"/>
      <c r="N19" s="97">
        <f t="shared" si="3"/>
        <v>1640.5626561019685</v>
      </c>
      <c r="O19" s="98">
        <f t="shared" si="4"/>
        <v>-1640.5626561019685</v>
      </c>
      <c r="P19" s="99">
        <f t="shared" si="5"/>
        <v>-52498004.995262995</v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28000</v>
      </c>
      <c r="E23" s="75"/>
      <c r="F23" s="75"/>
      <c r="G23" s="75"/>
      <c r="H23" s="76">
        <f>SUM(H16:H22)</f>
        <v>-36912317.965716355</v>
      </c>
      <c r="I23" s="106"/>
      <c r="J23" s="89" t="s">
        <v>24</v>
      </c>
      <c r="K23" s="90"/>
      <c r="L23" s="91">
        <f>SUM(L16:L22)</f>
        <v>96000</v>
      </c>
      <c r="M23" s="92"/>
      <c r="N23" s="92"/>
      <c r="O23" s="92"/>
      <c r="P23" s="93">
        <f>SUM(P16:P22)</f>
        <v>-157494014.985789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93225</v>
      </c>
      <c r="D29" s="177"/>
      <c r="E29" s="178">
        <f>$G$9</f>
        <v>1318.2970702041555</v>
      </c>
      <c r="F29" s="178"/>
      <c r="G29" s="177">
        <f>C29*E29</f>
        <v>122898244.36978239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402991</v>
      </c>
      <c r="D30" s="174"/>
      <c r="E30" s="185">
        <f>$G$10</f>
        <v>1640.5626561019685</v>
      </c>
      <c r="F30" s="185"/>
      <c r="G30" s="174">
        <f>C30*E30</f>
        <v>661131985.34518838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93225</v>
      </c>
      <c r="D36" s="177"/>
      <c r="E36" s="177">
        <f>$G$29+$O$29</f>
        <v>122898244.36978239</v>
      </c>
      <c r="F36" s="177"/>
      <c r="G36" s="178">
        <f>E36/C36</f>
        <v>1318.2970702041555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>
        <v>46099</v>
      </c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402991</v>
      </c>
      <c r="D37" s="174"/>
      <c r="E37" s="174">
        <f>$G$30+$O$30</f>
        <v>661131985.34518838</v>
      </c>
      <c r="F37" s="174"/>
      <c r="G37" s="185">
        <f>E37/C37</f>
        <v>1640.5626561019685</v>
      </c>
      <c r="H37" s="212"/>
      <c r="I37" s="17"/>
      <c r="J37" s="18"/>
      <c r="K37" s="120"/>
      <c r="L37" s="18"/>
      <c r="M37" s="18"/>
      <c r="N37" s="24"/>
      <c r="O37" s="19"/>
      <c r="P37" s="19"/>
      <c r="R37" s="117" t="s">
        <v>61</v>
      </c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>
        <v>32000</v>
      </c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 t="s">
        <v>62</v>
      </c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S42" s="2" t="s">
        <v>10</v>
      </c>
    </row>
    <row r="43" spans="2:25" ht="24" customHeight="1">
      <c r="B43" s="61" t="s">
        <v>40</v>
      </c>
      <c r="C43" s="227">
        <f>SUM($E$9)</f>
        <v>121225</v>
      </c>
      <c r="D43" s="228"/>
      <c r="E43" s="62"/>
      <c r="F43" s="229">
        <f>$K$29</f>
        <v>0</v>
      </c>
      <c r="G43" s="230"/>
      <c r="H43" s="230">
        <f>$D$23</f>
        <v>28000</v>
      </c>
      <c r="I43" s="230"/>
      <c r="J43" s="230"/>
      <c r="K43" s="231">
        <f>$C$43-$H$43+$F$43+$O$43</f>
        <v>93225</v>
      </c>
      <c r="L43" s="231"/>
      <c r="M43" s="63">
        <f>SUM($K$43)/$D$9</f>
        <v>0.46612500000000001</v>
      </c>
      <c r="N43" s="64">
        <f>$G$36</f>
        <v>1318.2970702041555</v>
      </c>
      <c r="O43" s="103"/>
      <c r="P43" s="23"/>
      <c r="Q43" s="18"/>
    </row>
    <row r="44" spans="2:25" ht="24.75" customHeight="1">
      <c r="B44" s="65" t="s">
        <v>41</v>
      </c>
      <c r="C44" s="232">
        <f>SUM($E$10)</f>
        <v>498991</v>
      </c>
      <c r="D44" s="233"/>
      <c r="E44" s="66"/>
      <c r="F44" s="234">
        <f>$K$30</f>
        <v>0</v>
      </c>
      <c r="G44" s="235"/>
      <c r="H44" s="235">
        <f>$L$23</f>
        <v>96000</v>
      </c>
      <c r="I44" s="235"/>
      <c r="J44" s="235"/>
      <c r="K44" s="236">
        <f>$C$44-$H$44+$F$44+$O$44</f>
        <v>402991</v>
      </c>
      <c r="L44" s="236"/>
      <c r="M44" s="67">
        <f>SUM($K$44)/D10</f>
        <v>0.80598199999999998</v>
      </c>
      <c r="N44" s="68">
        <f>$G$37</f>
        <v>1640.5626561019685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rgb="FFFFFF00"/>
    <pageSetUpPr fitToPage="1"/>
  </sheetPr>
  <dimension ref="B1:Y124"/>
  <sheetViews>
    <sheetView showGridLines="0" topLeftCell="A25" zoomScaleNormal="100" workbookViewId="0">
      <selection activeCell="T36" sqref="T36:U39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SUM('0325'!$K$43:$L$43)</f>
        <v>93225</v>
      </c>
      <c r="F9" s="42">
        <f>SUM(E9)/D9</f>
        <v>0.46612500000000001</v>
      </c>
      <c r="G9" s="10">
        <f>SUM('0325'!$N$43)</f>
        <v>1318.2970702041555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SUM('0325'!$K$44:$L$44)</f>
        <v>402991</v>
      </c>
      <c r="F10" s="44">
        <f>SUM(E10)/D10</f>
        <v>0.80598199999999998</v>
      </c>
      <c r="G10" s="13">
        <f>SUM('0325'!$N$44)</f>
        <v>1640.5626561019685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36"/>
      <c r="L16" s="37"/>
      <c r="M16" s="37"/>
      <c r="N16" s="94" t="str">
        <f t="shared" ref="N16:N22" si="3">IF(L16="","",($G$10))</f>
        <v/>
      </c>
      <c r="O16" s="95" t="str">
        <f t="shared" ref="O16:O22" si="4">IF(L16="","",(SUM(M16)-N16))</f>
        <v/>
      </c>
      <c r="P16" s="96" t="str">
        <f t="shared" ref="P16:P22" si="5">IF(L16="","",(L16*O16))</f>
        <v/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10"/>
      <c r="L18" s="16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110"/>
      <c r="L19" s="16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0</v>
      </c>
      <c r="M23" s="92"/>
      <c r="N23" s="92"/>
      <c r="O23" s="92"/>
      <c r="P23" s="93">
        <f>SUM(P16:P22)</f>
        <v>0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93225</v>
      </c>
      <c r="D29" s="177"/>
      <c r="E29" s="178">
        <f>$G$9</f>
        <v>1318.2970702041555</v>
      </c>
      <c r="F29" s="178"/>
      <c r="G29" s="177">
        <f>C29*E29</f>
        <v>122898244.36978239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402991</v>
      </c>
      <c r="D30" s="174"/>
      <c r="E30" s="185">
        <f>$G$10</f>
        <v>1640.5626561019685</v>
      </c>
      <c r="F30" s="185"/>
      <c r="G30" s="174">
        <f>C30*E30</f>
        <v>661131985.34518838</v>
      </c>
      <c r="H30" s="175"/>
      <c r="I30" s="17"/>
      <c r="J30" s="50" t="s">
        <v>11</v>
      </c>
      <c r="K30" s="186">
        <v>84056</v>
      </c>
      <c r="L30" s="187"/>
      <c r="M30" s="188">
        <v>1713</v>
      </c>
      <c r="N30" s="189"/>
      <c r="O30" s="174">
        <f>K30*M30</f>
        <v>143987928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93225</v>
      </c>
      <c r="D36" s="177"/>
      <c r="E36" s="177">
        <f>$G$29+$O$29</f>
        <v>122898244.36978239</v>
      </c>
      <c r="F36" s="177"/>
      <c r="G36" s="178">
        <f>E36/C36</f>
        <v>1318.2970702041555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>
        <v>46099</v>
      </c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487047</v>
      </c>
      <c r="D37" s="174"/>
      <c r="E37" s="174">
        <f>$G$30+$O$30</f>
        <v>805119913.34518838</v>
      </c>
      <c r="F37" s="174"/>
      <c r="G37" s="185">
        <f>E37/C37</f>
        <v>1653.0641054049986</v>
      </c>
      <c r="H37" s="212"/>
      <c r="I37" s="17"/>
      <c r="J37" s="18"/>
      <c r="K37" s="120"/>
      <c r="L37" s="18"/>
      <c r="M37" s="18"/>
      <c r="N37" s="24"/>
      <c r="O37" s="19"/>
      <c r="P37" s="19"/>
      <c r="R37" s="117" t="s">
        <v>61</v>
      </c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>
        <v>32000</v>
      </c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 t="s">
        <v>62</v>
      </c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S42" s="2" t="s">
        <v>10</v>
      </c>
    </row>
    <row r="43" spans="2:25" ht="24" customHeight="1">
      <c r="B43" s="61" t="s">
        <v>40</v>
      </c>
      <c r="C43" s="227">
        <f>SUM($E$9)</f>
        <v>93225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93225</v>
      </c>
      <c r="L43" s="231"/>
      <c r="M43" s="63">
        <f>SUM($K$43)/$D$9</f>
        <v>0.46612500000000001</v>
      </c>
      <c r="N43" s="64">
        <f>$G$36</f>
        <v>1318.2970702041555</v>
      </c>
      <c r="O43" s="103"/>
      <c r="P43" s="23"/>
      <c r="Q43" s="18"/>
    </row>
    <row r="44" spans="2:25" ht="24.75" customHeight="1">
      <c r="B44" s="65" t="s">
        <v>41</v>
      </c>
      <c r="C44" s="232">
        <f>SUM($E$10)</f>
        <v>402991</v>
      </c>
      <c r="D44" s="233"/>
      <c r="E44" s="66"/>
      <c r="F44" s="234">
        <f>$K$30</f>
        <v>84056</v>
      </c>
      <c r="G44" s="235"/>
      <c r="H44" s="235">
        <f>$L$23</f>
        <v>0</v>
      </c>
      <c r="I44" s="235"/>
      <c r="J44" s="235"/>
      <c r="K44" s="236">
        <f>$C$44-$H$44+$F$44+$O$44</f>
        <v>487047</v>
      </c>
      <c r="L44" s="236"/>
      <c r="M44" s="67">
        <f>SUM($K$44)/D10</f>
        <v>0.97409400000000002</v>
      </c>
      <c r="N44" s="68">
        <f>$G$37</f>
        <v>1653.0641054049986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5:C46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B1:Y124"/>
  <sheetViews>
    <sheetView showGridLines="0" topLeftCell="A28" zoomScaleNormal="100" workbookViewId="0">
      <selection activeCell="T36" sqref="T36:U39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SUM('0326 (입고)'!$K$43:$L$43)</f>
        <v>93225</v>
      </c>
      <c r="F9" s="42">
        <f>SUM(E9)/D9</f>
        <v>0.46612500000000001</v>
      </c>
      <c r="G9" s="10">
        <f>SUM('0326 (입고)'!$N$43)</f>
        <v>1318.2970702041555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SUM('0326 (입고)'!$K$44:$L$44)</f>
        <v>487047</v>
      </c>
      <c r="F10" s="44">
        <f>SUM(E10)/D10</f>
        <v>0.97409400000000002</v>
      </c>
      <c r="G10" s="13">
        <f>SUM('0326 (입고)'!$N$44)</f>
        <v>1653.0641054049986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36" t="s">
        <v>69</v>
      </c>
      <c r="L16" s="37">
        <v>32000</v>
      </c>
      <c r="M16" s="37"/>
      <c r="N16" s="94">
        <f t="shared" ref="N16:N22" si="3">IF(L16="","",($G$10))</f>
        <v>1653.0641054049986</v>
      </c>
      <c r="O16" s="95">
        <f t="shared" ref="O16:O22" si="4">IF(L16="","",(SUM(M16)-N16))</f>
        <v>-1653.0641054049986</v>
      </c>
      <c r="P16" s="96">
        <f t="shared" ref="P16:P22" si="5">IF(L16="","",(L16*O16))</f>
        <v>-52898051.372959957</v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 t="s">
        <v>70</v>
      </c>
      <c r="L17" s="16">
        <v>32000</v>
      </c>
      <c r="M17" s="16"/>
      <c r="N17" s="97">
        <f t="shared" si="3"/>
        <v>1653.0641054049986</v>
      </c>
      <c r="O17" s="98">
        <f t="shared" si="4"/>
        <v>-1653.0641054049986</v>
      </c>
      <c r="P17" s="99">
        <f t="shared" si="5"/>
        <v>-52898051.372959957</v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10"/>
      <c r="L18" s="16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110"/>
      <c r="L19" s="16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64000</v>
      </c>
      <c r="M23" s="92"/>
      <c r="N23" s="92"/>
      <c r="O23" s="92"/>
      <c r="P23" s="93">
        <f>SUM(P16:P22)</f>
        <v>-105796102.74591991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93225</v>
      </c>
      <c r="D29" s="177"/>
      <c r="E29" s="178">
        <f>$G$9</f>
        <v>1318.2970702041555</v>
      </c>
      <c r="F29" s="178"/>
      <c r="G29" s="177">
        <f>C29*E29</f>
        <v>122898244.36978239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423047</v>
      </c>
      <c r="D30" s="174"/>
      <c r="E30" s="185">
        <f>$G$10</f>
        <v>1653.0641054049986</v>
      </c>
      <c r="F30" s="185"/>
      <c r="G30" s="174">
        <f>C30*E30</f>
        <v>699323810.59926844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93225</v>
      </c>
      <c r="D36" s="177"/>
      <c r="E36" s="177">
        <f>$G$29+$O$29</f>
        <v>122898244.36978239</v>
      </c>
      <c r="F36" s="177"/>
      <c r="G36" s="178">
        <f>E36/C36</f>
        <v>1318.2970702041555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>
        <v>46099</v>
      </c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423047</v>
      </c>
      <c r="D37" s="174"/>
      <c r="E37" s="174">
        <f>$G$30+$O$30</f>
        <v>699323810.59926844</v>
      </c>
      <c r="F37" s="174"/>
      <c r="G37" s="185">
        <f>E37/C37</f>
        <v>1653.0641054049986</v>
      </c>
      <c r="H37" s="212"/>
      <c r="I37" s="17"/>
      <c r="J37" s="18"/>
      <c r="K37" s="120"/>
      <c r="L37" s="18"/>
      <c r="M37" s="18"/>
      <c r="N37" s="24"/>
      <c r="O37" s="19"/>
      <c r="P37" s="19"/>
      <c r="R37" s="117" t="s">
        <v>61</v>
      </c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>
        <v>32000</v>
      </c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 t="s">
        <v>62</v>
      </c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S42" s="2" t="s">
        <v>10</v>
      </c>
    </row>
    <row r="43" spans="2:25" ht="24" customHeight="1">
      <c r="B43" s="61" t="s">
        <v>40</v>
      </c>
      <c r="C43" s="227">
        <f>SUM($E$9)</f>
        <v>93225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93225</v>
      </c>
      <c r="L43" s="231"/>
      <c r="M43" s="63">
        <f>SUM($K$43)/$D$9</f>
        <v>0.46612500000000001</v>
      </c>
      <c r="N43" s="64">
        <f>$G$36</f>
        <v>1318.2970702041555</v>
      </c>
      <c r="O43" s="103"/>
      <c r="P43" s="23"/>
      <c r="Q43" s="18"/>
    </row>
    <row r="44" spans="2:25" ht="24.75" customHeight="1">
      <c r="B44" s="65" t="s">
        <v>41</v>
      </c>
      <c r="C44" s="232">
        <f>SUM($E$10)</f>
        <v>487047</v>
      </c>
      <c r="D44" s="233"/>
      <c r="E44" s="66"/>
      <c r="F44" s="234">
        <f>$K$30</f>
        <v>0</v>
      </c>
      <c r="G44" s="235"/>
      <c r="H44" s="235">
        <f>$L$23</f>
        <v>64000</v>
      </c>
      <c r="I44" s="235"/>
      <c r="J44" s="235"/>
      <c r="K44" s="236">
        <f>$C$44-$H$44+$F$44+$O$44</f>
        <v>423047</v>
      </c>
      <c r="L44" s="236"/>
      <c r="M44" s="67">
        <f>SUM($K$44)/D10</f>
        <v>0.84609400000000001</v>
      </c>
      <c r="N44" s="68">
        <f>$G$37</f>
        <v>1653.0641054049986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5:C46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B1:Y124"/>
  <sheetViews>
    <sheetView showGridLines="0" topLeftCell="A28" zoomScaleNormal="100" workbookViewId="0">
      <selection activeCell="T36" sqref="T36:U39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SUM('0326'!$K$43:$L$43)</f>
        <v>93225</v>
      </c>
      <c r="F9" s="42">
        <f>SUM(E9)/D9</f>
        <v>0.46612500000000001</v>
      </c>
      <c r="G9" s="10">
        <f>SUM('0326'!$N$43)</f>
        <v>1318.2970702041555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SUM('0326'!$K$44:$L$44)</f>
        <v>423047</v>
      </c>
      <c r="F10" s="44">
        <f>SUM(E10)/D10</f>
        <v>0.84609400000000001</v>
      </c>
      <c r="G10" s="13">
        <f>SUM('0326'!$N$44)</f>
        <v>1653.0641054049986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 t="s">
        <v>71</v>
      </c>
      <c r="D16" s="37">
        <v>12000</v>
      </c>
      <c r="E16" s="37"/>
      <c r="F16" s="77">
        <f t="shared" ref="F16:F22" si="0">IF(D16="","",(SUM($G$9)))</f>
        <v>1318.2970702041555</v>
      </c>
      <c r="G16" s="78">
        <f t="shared" ref="G16:G22" si="1">IF(D16="","",(SUM(E16)-F16))</f>
        <v>-1318.2970702041555</v>
      </c>
      <c r="H16" s="79">
        <f t="shared" ref="H16:H22" si="2">IF(D16="","",(D16*G16))</f>
        <v>-15819564.842449866</v>
      </c>
      <c r="I16" s="17"/>
      <c r="J16" s="159" t="s">
        <v>22</v>
      </c>
      <c r="K16" s="36" t="s">
        <v>44</v>
      </c>
      <c r="L16" s="37">
        <v>20000</v>
      </c>
      <c r="M16" s="37"/>
      <c r="N16" s="94">
        <f t="shared" ref="N16:N22" si="3">IF(L16="","",($G$10))</f>
        <v>1653.0641054049986</v>
      </c>
      <c r="O16" s="95">
        <f t="shared" ref="O16:O22" si="4">IF(L16="","",(SUM(M16)-N16))</f>
        <v>-1653.0641054049986</v>
      </c>
      <c r="P16" s="96">
        <f t="shared" ref="P16:P22" si="5">IF(L16="","",(L16*O16))</f>
        <v>-33061282.108099971</v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10"/>
      <c r="L18" s="16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110"/>
      <c r="L19" s="16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12000</v>
      </c>
      <c r="E23" s="75"/>
      <c r="F23" s="75"/>
      <c r="G23" s="75"/>
      <c r="H23" s="76">
        <f>SUM(H16:H22)</f>
        <v>-15819564.842449866</v>
      </c>
      <c r="I23" s="106"/>
      <c r="J23" s="89" t="s">
        <v>24</v>
      </c>
      <c r="K23" s="90"/>
      <c r="L23" s="91">
        <f>SUM(L16:L22)</f>
        <v>20000</v>
      </c>
      <c r="M23" s="92"/>
      <c r="N23" s="92"/>
      <c r="O23" s="92"/>
      <c r="P23" s="93">
        <f>SUM(P16:P22)</f>
        <v>-33061282.108099971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81225</v>
      </c>
      <c r="D29" s="177"/>
      <c r="E29" s="178">
        <f>$G$9</f>
        <v>1318.2970702041555</v>
      </c>
      <c r="F29" s="178"/>
      <c r="G29" s="177">
        <f>C29*E29</f>
        <v>107078679.52733253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403047</v>
      </c>
      <c r="D30" s="174"/>
      <c r="E30" s="185">
        <f>$G$10</f>
        <v>1653.0641054049986</v>
      </c>
      <c r="F30" s="185"/>
      <c r="G30" s="174">
        <f>C30*E30</f>
        <v>666262528.4911685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81225</v>
      </c>
      <c r="D36" s="177"/>
      <c r="E36" s="177">
        <f>$G$29+$O$29</f>
        <v>107078679.52733253</v>
      </c>
      <c r="F36" s="177"/>
      <c r="G36" s="178">
        <f>E36/C36</f>
        <v>1318.2970702041555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>
        <v>46099</v>
      </c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403047</v>
      </c>
      <c r="D37" s="174"/>
      <c r="E37" s="174">
        <f>$G$30+$O$30</f>
        <v>666262528.4911685</v>
      </c>
      <c r="F37" s="174"/>
      <c r="G37" s="185">
        <f>E37/C37</f>
        <v>1653.0641054049986</v>
      </c>
      <c r="H37" s="212"/>
      <c r="I37" s="17"/>
      <c r="J37" s="18"/>
      <c r="K37" s="120"/>
      <c r="L37" s="18"/>
      <c r="M37" s="18"/>
      <c r="N37" s="24"/>
      <c r="O37" s="19"/>
      <c r="P37" s="19"/>
      <c r="R37" s="117" t="s">
        <v>61</v>
      </c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>
        <v>32000</v>
      </c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 t="s">
        <v>62</v>
      </c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S42" s="2" t="s">
        <v>10</v>
      </c>
    </row>
    <row r="43" spans="2:25" ht="24" customHeight="1">
      <c r="B43" s="61" t="s">
        <v>40</v>
      </c>
      <c r="C43" s="227">
        <f>SUM($E$9)</f>
        <v>93225</v>
      </c>
      <c r="D43" s="228"/>
      <c r="E43" s="62"/>
      <c r="F43" s="229">
        <f>$K$29</f>
        <v>0</v>
      </c>
      <c r="G43" s="230"/>
      <c r="H43" s="230">
        <f>$D$23</f>
        <v>12000</v>
      </c>
      <c r="I43" s="230"/>
      <c r="J43" s="230"/>
      <c r="K43" s="231">
        <f>$C$43-$H$43+$F$43+$O$43</f>
        <v>81225</v>
      </c>
      <c r="L43" s="231"/>
      <c r="M43" s="63">
        <f>SUM($K$43)/$D$9</f>
        <v>0.40612500000000001</v>
      </c>
      <c r="N43" s="64">
        <f>$G$36</f>
        <v>1318.2970702041555</v>
      </c>
      <c r="O43" s="103"/>
      <c r="P43" s="23"/>
      <c r="Q43" s="18"/>
    </row>
    <row r="44" spans="2:25" ht="24.75" customHeight="1">
      <c r="B44" s="65" t="s">
        <v>41</v>
      </c>
      <c r="C44" s="232">
        <f>SUM($E$10)</f>
        <v>423047</v>
      </c>
      <c r="D44" s="233"/>
      <c r="E44" s="66"/>
      <c r="F44" s="234">
        <f>$K$30</f>
        <v>0</v>
      </c>
      <c r="G44" s="235"/>
      <c r="H44" s="235">
        <f>$L$23</f>
        <v>20000</v>
      </c>
      <c r="I44" s="235"/>
      <c r="J44" s="235"/>
      <c r="K44" s="236">
        <f>$C$44-$H$44+$F$44+$O$44</f>
        <v>403047</v>
      </c>
      <c r="L44" s="236"/>
      <c r="M44" s="67">
        <f>SUM($K$44)/D10</f>
        <v>0.80609399999999998</v>
      </c>
      <c r="N44" s="68">
        <f>$G$37</f>
        <v>1653.0641054049986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B1:Y124"/>
  <sheetViews>
    <sheetView showGridLines="0" topLeftCell="A28" zoomScaleNormal="100" workbookViewId="0">
      <selection activeCell="T36" sqref="T36:U39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SUM('0327'!$K$43:$L$43)</f>
        <v>81225</v>
      </c>
      <c r="F9" s="42">
        <f>SUM(E9)/D9</f>
        <v>0.40612500000000001</v>
      </c>
      <c r="G9" s="10">
        <f>SUM('0327'!$N$43)</f>
        <v>1318.2970702041555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SUM('0327'!$K$44:$L$44)</f>
        <v>403047</v>
      </c>
      <c r="F10" s="44">
        <f>SUM(E10)/D10</f>
        <v>0.80609399999999998</v>
      </c>
      <c r="G10" s="13">
        <f>SUM('0327'!$N$44)</f>
        <v>1653.0641054049986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 t="s">
        <v>61</v>
      </c>
      <c r="D16" s="37">
        <v>6000</v>
      </c>
      <c r="E16" s="37"/>
      <c r="F16" s="77">
        <f t="shared" ref="F16:F22" si="0">IF(D16="","",(SUM($G$9)))</f>
        <v>1318.2970702041555</v>
      </c>
      <c r="G16" s="78">
        <f t="shared" ref="G16:G22" si="1">IF(D16="","",(SUM(E16)-F16))</f>
        <v>-1318.2970702041555</v>
      </c>
      <c r="H16" s="79">
        <f t="shared" ref="H16:H22" si="2">IF(D16="","",(D16*G16))</f>
        <v>-7909782.4212249331</v>
      </c>
      <c r="I16" s="17"/>
      <c r="J16" s="159" t="s">
        <v>22</v>
      </c>
      <c r="K16" s="36"/>
      <c r="L16" s="37"/>
      <c r="M16" s="37"/>
      <c r="N16" s="94" t="str">
        <f t="shared" ref="N16:N22" si="3">IF(L16="","",($G$10))</f>
        <v/>
      </c>
      <c r="O16" s="95" t="str">
        <f t="shared" ref="O16:O22" si="4">IF(L16="","",(SUM(M16)-N16))</f>
        <v/>
      </c>
      <c r="P16" s="96" t="str">
        <f t="shared" ref="P16:P22" si="5">IF(L16="","",(L16*O16))</f>
        <v/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10"/>
      <c r="L18" s="16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110"/>
      <c r="L19" s="16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6000</v>
      </c>
      <c r="E23" s="75"/>
      <c r="F23" s="75"/>
      <c r="G23" s="75"/>
      <c r="H23" s="76">
        <f>SUM(H16:H22)</f>
        <v>-7909782.4212249331</v>
      </c>
      <c r="I23" s="106"/>
      <c r="J23" s="89" t="s">
        <v>24</v>
      </c>
      <c r="K23" s="90"/>
      <c r="L23" s="91">
        <f>SUM(L16:L22)</f>
        <v>0</v>
      </c>
      <c r="M23" s="92"/>
      <c r="N23" s="92"/>
      <c r="O23" s="92"/>
      <c r="P23" s="93">
        <f>SUM(P16:P22)</f>
        <v>0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75225</v>
      </c>
      <c r="D29" s="177"/>
      <c r="E29" s="178">
        <f>$G$9</f>
        <v>1318.2970702041555</v>
      </c>
      <c r="F29" s="178"/>
      <c r="G29" s="177">
        <f>C29*E29</f>
        <v>99168897.106107593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403047</v>
      </c>
      <c r="D30" s="174"/>
      <c r="E30" s="185">
        <f>$G$10</f>
        <v>1653.0641054049986</v>
      </c>
      <c r="F30" s="185"/>
      <c r="G30" s="174">
        <f>C30*E30</f>
        <v>666262528.4911685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75225</v>
      </c>
      <c r="D36" s="177"/>
      <c r="E36" s="177">
        <f>$G$29+$O$29</f>
        <v>99168897.106107593</v>
      </c>
      <c r="F36" s="177"/>
      <c r="G36" s="178">
        <f>E36/C36</f>
        <v>1318.2970702041555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>
        <v>46099</v>
      </c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403047</v>
      </c>
      <c r="D37" s="174"/>
      <c r="E37" s="174">
        <f>$G$30+$O$30</f>
        <v>666262528.4911685</v>
      </c>
      <c r="F37" s="174"/>
      <c r="G37" s="185">
        <f>E37/C37</f>
        <v>1653.0641054049986</v>
      </c>
      <c r="H37" s="212"/>
      <c r="I37" s="17"/>
      <c r="J37" s="18"/>
      <c r="K37" s="120"/>
      <c r="L37" s="18"/>
      <c r="M37" s="18"/>
      <c r="N37" s="24"/>
      <c r="O37" s="19"/>
      <c r="P37" s="19"/>
      <c r="R37" s="117" t="s">
        <v>61</v>
      </c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>
        <v>32000</v>
      </c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 t="s">
        <v>62</v>
      </c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S42" s="2" t="s">
        <v>10</v>
      </c>
    </row>
    <row r="43" spans="2:25" ht="24" customHeight="1">
      <c r="B43" s="61" t="s">
        <v>40</v>
      </c>
      <c r="C43" s="227">
        <f>SUM($E$9)</f>
        <v>81225</v>
      </c>
      <c r="D43" s="228"/>
      <c r="E43" s="62"/>
      <c r="F43" s="229">
        <f>$K$29</f>
        <v>0</v>
      </c>
      <c r="G43" s="230"/>
      <c r="H43" s="230">
        <f>$D$23</f>
        <v>6000</v>
      </c>
      <c r="I43" s="230"/>
      <c r="J43" s="230"/>
      <c r="K43" s="231">
        <f>$C$43-$H$43+$F$43+$O$43</f>
        <v>75225</v>
      </c>
      <c r="L43" s="231"/>
      <c r="M43" s="63">
        <f>SUM($K$43)/$D$9</f>
        <v>0.37612499999999999</v>
      </c>
      <c r="N43" s="64">
        <f>$G$36</f>
        <v>1318.2970702041555</v>
      </c>
      <c r="O43" s="103"/>
      <c r="P43" s="23"/>
      <c r="Q43" s="18"/>
    </row>
    <row r="44" spans="2:25" ht="24.75" customHeight="1">
      <c r="B44" s="65" t="s">
        <v>41</v>
      </c>
      <c r="C44" s="232">
        <f>SUM($E$10)</f>
        <v>403047</v>
      </c>
      <c r="D44" s="233"/>
      <c r="E44" s="66"/>
      <c r="F44" s="234">
        <f>$K$30</f>
        <v>0</v>
      </c>
      <c r="G44" s="235"/>
      <c r="H44" s="235">
        <f>$L$23</f>
        <v>0</v>
      </c>
      <c r="I44" s="235"/>
      <c r="J44" s="235"/>
      <c r="K44" s="236">
        <f>$C$44-$H$44+$F$44+$O$44</f>
        <v>403047</v>
      </c>
      <c r="L44" s="236"/>
      <c r="M44" s="67">
        <f>SUM($K$44)/D10</f>
        <v>0.80609399999999998</v>
      </c>
      <c r="N44" s="68">
        <f>$G$37</f>
        <v>1653.0641054049986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rgb="FFFFFF00"/>
    <pageSetUpPr fitToPage="1"/>
  </sheetPr>
  <dimension ref="B1:Y124"/>
  <sheetViews>
    <sheetView showGridLines="0" topLeftCell="A28" zoomScaleNormal="100" workbookViewId="0">
      <selection activeCell="F48" sqref="F48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SUM('0329'!$K$43:$L$43)</f>
        <v>75225</v>
      </c>
      <c r="F9" s="42">
        <f>SUM(E9)/D9</f>
        <v>0.37612499999999999</v>
      </c>
      <c r="G9" s="10">
        <f>SUM('0329'!$N$43)</f>
        <v>1318.2970702041555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SUM('0329'!$K$44:$L$44)</f>
        <v>403047</v>
      </c>
      <c r="F10" s="44">
        <f>SUM(E10)/D10</f>
        <v>0.80609399999999998</v>
      </c>
      <c r="G10" s="13">
        <f>SUM('0329'!$N$44)</f>
        <v>1653.0641054049986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36"/>
      <c r="L16" s="37"/>
      <c r="M16" s="37"/>
      <c r="N16" s="94" t="str">
        <f t="shared" ref="N16:N22" si="3">IF(L16="","",($G$10))</f>
        <v/>
      </c>
      <c r="O16" s="95" t="str">
        <f t="shared" ref="O16:O22" si="4">IF(L16="","",(SUM(M16)-N16))</f>
        <v/>
      </c>
      <c r="P16" s="96" t="str">
        <f t="shared" ref="P16:P22" si="5">IF(L16="","",(L16*O16))</f>
        <v/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10"/>
      <c r="L18" s="16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110"/>
      <c r="L19" s="16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0</v>
      </c>
      <c r="M23" s="92"/>
      <c r="N23" s="92"/>
      <c r="O23" s="92"/>
      <c r="P23" s="93">
        <f>SUM(P16:P22)</f>
        <v>0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75225</v>
      </c>
      <c r="D29" s="177"/>
      <c r="E29" s="178">
        <f>$G$9</f>
        <v>1318.2970702041555</v>
      </c>
      <c r="F29" s="178"/>
      <c r="G29" s="177">
        <f>C29*E29</f>
        <v>99168897.106107593</v>
      </c>
      <c r="H29" s="179"/>
      <c r="I29" s="17"/>
      <c r="J29" s="49" t="s">
        <v>9</v>
      </c>
      <c r="K29" s="180">
        <v>12000</v>
      </c>
      <c r="L29" s="181"/>
      <c r="M29" s="182">
        <v>1530</v>
      </c>
      <c r="N29" s="183"/>
      <c r="O29" s="177">
        <f>K29*M29</f>
        <v>18360000</v>
      </c>
      <c r="P29" s="179"/>
      <c r="R29" s="18"/>
    </row>
    <row r="30" spans="2:18" ht="22.5" customHeight="1">
      <c r="B30" s="50" t="s">
        <v>11</v>
      </c>
      <c r="C30" s="184">
        <f>$E$10-$L$23</f>
        <v>403047</v>
      </c>
      <c r="D30" s="174"/>
      <c r="E30" s="185">
        <f>$G$10</f>
        <v>1653.0641054049986</v>
      </c>
      <c r="F30" s="185"/>
      <c r="G30" s="174">
        <f>C30*E30</f>
        <v>666262528.4911685</v>
      </c>
      <c r="H30" s="175"/>
      <c r="I30" s="17"/>
      <c r="J30" s="50" t="s">
        <v>11</v>
      </c>
      <c r="K30" s="186">
        <v>16030</v>
      </c>
      <c r="L30" s="187"/>
      <c r="M30" s="188">
        <v>1923</v>
      </c>
      <c r="N30" s="189"/>
      <c r="O30" s="174">
        <f>K30*M30</f>
        <v>30825690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87225</v>
      </c>
      <c r="D36" s="177"/>
      <c r="E36" s="177">
        <f>$G$29+$O$29</f>
        <v>117528897.10610759</v>
      </c>
      <c r="F36" s="177"/>
      <c r="G36" s="178">
        <f>E36/C36</f>
        <v>1347.4221508295511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>
        <v>46099</v>
      </c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419077</v>
      </c>
      <c r="D37" s="174"/>
      <c r="E37" s="174">
        <f>$G$30+$O$30</f>
        <v>697088218.4911685</v>
      </c>
      <c r="F37" s="174"/>
      <c r="G37" s="185">
        <f>E37/C37</f>
        <v>1663.3893496688402</v>
      </c>
      <c r="H37" s="212"/>
      <c r="I37" s="17"/>
      <c r="J37" s="18"/>
      <c r="K37" s="120"/>
      <c r="L37" s="18"/>
      <c r="M37" s="18"/>
      <c r="N37" s="24"/>
      <c r="O37" s="19"/>
      <c r="P37" s="19"/>
      <c r="R37" s="117" t="s">
        <v>61</v>
      </c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>
        <v>32000</v>
      </c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 t="s">
        <v>62</v>
      </c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S42" s="2" t="s">
        <v>10</v>
      </c>
    </row>
    <row r="43" spans="2:25" ht="24" customHeight="1">
      <c r="B43" s="61" t="s">
        <v>40</v>
      </c>
      <c r="C43" s="227">
        <f>SUM($E$9)</f>
        <v>75225</v>
      </c>
      <c r="D43" s="228"/>
      <c r="E43" s="62"/>
      <c r="F43" s="229">
        <f>$K$29</f>
        <v>12000</v>
      </c>
      <c r="G43" s="230"/>
      <c r="H43" s="230">
        <f>$D$23</f>
        <v>0</v>
      </c>
      <c r="I43" s="230"/>
      <c r="J43" s="230"/>
      <c r="K43" s="231">
        <f>$C$43-$H$43+$F$43+$O$43</f>
        <v>87225</v>
      </c>
      <c r="L43" s="231"/>
      <c r="M43" s="63">
        <f>SUM($K$43)/$D$9</f>
        <v>0.43612499999999998</v>
      </c>
      <c r="N43" s="64">
        <f>$G$36</f>
        <v>1347.4221508295511</v>
      </c>
      <c r="O43" s="103"/>
      <c r="P43" s="23"/>
      <c r="Q43" s="18"/>
    </row>
    <row r="44" spans="2:25" ht="24.75" customHeight="1">
      <c r="B44" s="65" t="s">
        <v>41</v>
      </c>
      <c r="C44" s="232">
        <f>SUM($E$10)</f>
        <v>403047</v>
      </c>
      <c r="D44" s="233"/>
      <c r="E44" s="66"/>
      <c r="F44" s="234">
        <f>$K$30</f>
        <v>16030</v>
      </c>
      <c r="G44" s="235"/>
      <c r="H44" s="235">
        <f>$L$23</f>
        <v>0</v>
      </c>
      <c r="I44" s="235"/>
      <c r="J44" s="235"/>
      <c r="K44" s="236">
        <f>$C$44-$H$44+$F$44+$O$44</f>
        <v>419077</v>
      </c>
      <c r="L44" s="236"/>
      <c r="M44" s="67">
        <f>SUM($K$44)/D10</f>
        <v>0.83815399999999995</v>
      </c>
      <c r="N44" s="68">
        <f>$G$37</f>
        <v>1663.3893496688402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5:C46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B1:Y124"/>
  <sheetViews>
    <sheetView showGridLines="0" topLeftCell="A28" zoomScaleNormal="100" workbookViewId="0">
      <selection activeCell="Q41" sqref="Q41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SUM('0331 (입고)'!$K$43:$L$43)</f>
        <v>87225</v>
      </c>
      <c r="F9" s="42">
        <f>SUM(E9)/D9</f>
        <v>0.43612499999999998</v>
      </c>
      <c r="G9" s="10">
        <f>SUM('0331 (입고)'!$N$43)</f>
        <v>1347.4221508295511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SUM('0331 (입고)'!$K$44:$L$44)</f>
        <v>419077</v>
      </c>
      <c r="F10" s="44">
        <f>SUM(E10)/D10</f>
        <v>0.83815399999999995</v>
      </c>
      <c r="G10" s="13">
        <f>SUM('0331 (입고)'!$N$44)</f>
        <v>1663.3893496688402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 t="s">
        <v>72</v>
      </c>
      <c r="D16" s="37">
        <v>4000</v>
      </c>
      <c r="E16" s="37"/>
      <c r="F16" s="77">
        <f t="shared" ref="F16:F22" si="0">IF(D16="","",(SUM($G$9)))</f>
        <v>1347.4221508295511</v>
      </c>
      <c r="G16" s="78">
        <f t="shared" ref="G16:G22" si="1">IF(D16="","",(SUM(E16)-F16))</f>
        <v>-1347.4221508295511</v>
      </c>
      <c r="H16" s="79">
        <f t="shared" ref="H16:H22" si="2">IF(D16="","",(D16*G16))</f>
        <v>-5389688.6033182042</v>
      </c>
      <c r="I16" s="17"/>
      <c r="J16" s="159" t="s">
        <v>22</v>
      </c>
      <c r="K16" s="36" t="s">
        <v>72</v>
      </c>
      <c r="L16" s="37">
        <v>16000</v>
      </c>
      <c r="M16" s="37"/>
      <c r="N16" s="94">
        <f t="shared" ref="N16:N22" si="3">IF(L16="","",($G$10))</f>
        <v>1663.3893496688402</v>
      </c>
      <c r="O16" s="95">
        <f t="shared" ref="O16:O22" si="4">IF(L16="","",(SUM(M16)-N16))</f>
        <v>-1663.3893496688402</v>
      </c>
      <c r="P16" s="96">
        <f t="shared" ref="P16:P22" si="5">IF(L16="","",(L16*O16))</f>
        <v>-26614229.594701443</v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10"/>
      <c r="L18" s="16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110"/>
      <c r="L19" s="16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4000</v>
      </c>
      <c r="E23" s="75"/>
      <c r="F23" s="75"/>
      <c r="G23" s="75"/>
      <c r="H23" s="76">
        <f>SUM(H16:H22)</f>
        <v>-5389688.6033182042</v>
      </c>
      <c r="I23" s="106"/>
      <c r="J23" s="89" t="s">
        <v>24</v>
      </c>
      <c r="K23" s="90"/>
      <c r="L23" s="91">
        <f>SUM(L16:L22)</f>
        <v>16000</v>
      </c>
      <c r="M23" s="92"/>
      <c r="N23" s="92"/>
      <c r="O23" s="92"/>
      <c r="P23" s="93">
        <f>SUM(P16:P22)</f>
        <v>-26614229.594701443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83225</v>
      </c>
      <c r="D29" s="177"/>
      <c r="E29" s="178">
        <f>$G$9</f>
        <v>1347.4221508295511</v>
      </c>
      <c r="F29" s="178"/>
      <c r="G29" s="177">
        <f>C29*E29</f>
        <v>112139208.50278939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403077</v>
      </c>
      <c r="D30" s="174"/>
      <c r="E30" s="185">
        <f>$G$10</f>
        <v>1663.3893496688402</v>
      </c>
      <c r="F30" s="185"/>
      <c r="G30" s="174">
        <f>C30*E30</f>
        <v>670473988.89646709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83225</v>
      </c>
      <c r="D36" s="177"/>
      <c r="E36" s="177">
        <f>$G$29+$O$29</f>
        <v>112139208.50278939</v>
      </c>
      <c r="F36" s="177"/>
      <c r="G36" s="178">
        <f>E36/C36</f>
        <v>1347.4221508295511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>
        <v>46099</v>
      </c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403077</v>
      </c>
      <c r="D37" s="174"/>
      <c r="E37" s="174">
        <f>$G$30+$O$30</f>
        <v>670473988.89646709</v>
      </c>
      <c r="F37" s="174"/>
      <c r="G37" s="185">
        <f>E37/C37</f>
        <v>1663.3893496688402</v>
      </c>
      <c r="H37" s="212"/>
      <c r="I37" s="17"/>
      <c r="J37" s="18"/>
      <c r="K37" s="120"/>
      <c r="L37" s="18"/>
      <c r="M37" s="18"/>
      <c r="N37" s="24"/>
      <c r="O37" s="19"/>
      <c r="P37" s="19"/>
      <c r="R37" s="117" t="s">
        <v>61</v>
      </c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>
        <v>32000</v>
      </c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 t="s">
        <v>62</v>
      </c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S42" s="2" t="s">
        <v>10</v>
      </c>
    </row>
    <row r="43" spans="2:25" ht="24" customHeight="1">
      <c r="B43" s="61" t="s">
        <v>40</v>
      </c>
      <c r="C43" s="227">
        <f>SUM($E$9)</f>
        <v>87225</v>
      </c>
      <c r="D43" s="228"/>
      <c r="E43" s="62"/>
      <c r="F43" s="229">
        <f>$K$29</f>
        <v>0</v>
      </c>
      <c r="G43" s="230"/>
      <c r="H43" s="230">
        <f>$D$23</f>
        <v>4000</v>
      </c>
      <c r="I43" s="230"/>
      <c r="J43" s="230"/>
      <c r="K43" s="231">
        <f>$C$43-$H$43+$F$43+$O$43</f>
        <v>83225</v>
      </c>
      <c r="L43" s="231"/>
      <c r="M43" s="63">
        <f>SUM($K$43)/$D$9</f>
        <v>0.41612500000000002</v>
      </c>
      <c r="N43" s="64">
        <f>$G$36</f>
        <v>1347.4221508295511</v>
      </c>
      <c r="O43" s="103"/>
      <c r="P43" s="23"/>
      <c r="Q43" s="18"/>
    </row>
    <row r="44" spans="2:25" ht="24.75" customHeight="1">
      <c r="B44" s="65" t="s">
        <v>41</v>
      </c>
      <c r="C44" s="232">
        <f>SUM($E$10)</f>
        <v>419077</v>
      </c>
      <c r="D44" s="233"/>
      <c r="E44" s="66"/>
      <c r="F44" s="234">
        <f>$K$30</f>
        <v>0</v>
      </c>
      <c r="G44" s="235"/>
      <c r="H44" s="235">
        <f>$L$23</f>
        <v>16000</v>
      </c>
      <c r="I44" s="235"/>
      <c r="J44" s="235"/>
      <c r="K44" s="236">
        <f>$C$44-$H$44+$F$44+$O$44</f>
        <v>403077</v>
      </c>
      <c r="L44" s="236"/>
      <c r="M44" s="67">
        <f>SUM($K$44)/D10</f>
        <v>0.80615400000000004</v>
      </c>
      <c r="N44" s="68">
        <f>$G$37</f>
        <v>1663.3893496688402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5:C46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B1:Y124"/>
  <sheetViews>
    <sheetView showGridLines="0" topLeftCell="A28" zoomScaleNormal="100" workbookViewId="0">
      <selection activeCell="T42" sqref="Q42:T44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SUM('0331'!$K$43:$L$43)</f>
        <v>83225</v>
      </c>
      <c r="F9" s="42">
        <f>SUM(E9)/D9</f>
        <v>0.41612500000000002</v>
      </c>
      <c r="G9" s="10">
        <f>SUM('0331'!$N$43)</f>
        <v>1347.4221508295511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SUM('0331'!$K$44:$L$44)</f>
        <v>403077</v>
      </c>
      <c r="F10" s="44">
        <f>SUM(E10)/D10</f>
        <v>0.80615400000000004</v>
      </c>
      <c r="G10" s="13">
        <f>SUM('0331'!$N$44)</f>
        <v>1663.3893496688402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36"/>
      <c r="L16" s="37"/>
      <c r="M16" s="37"/>
      <c r="N16" s="94" t="str">
        <f t="shared" ref="N16:N22" si="3">IF(L16="","",($G$10))</f>
        <v/>
      </c>
      <c r="O16" s="95" t="str">
        <f t="shared" ref="O16:O22" si="4">IF(L16="","",(SUM(M16)-N16))</f>
        <v/>
      </c>
      <c r="P16" s="96" t="str">
        <f t="shared" ref="P16:P22" si="5">IF(L16="","",(L16*O16))</f>
        <v/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10"/>
      <c r="L18" s="16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110"/>
      <c r="L19" s="16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0</v>
      </c>
      <c r="M23" s="92"/>
      <c r="N23" s="92"/>
      <c r="O23" s="92"/>
      <c r="P23" s="93">
        <f>SUM(P16:P22)</f>
        <v>0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83225</v>
      </c>
      <c r="D29" s="177"/>
      <c r="E29" s="178">
        <f>$G$9</f>
        <v>1347.4221508295511</v>
      </c>
      <c r="F29" s="178"/>
      <c r="G29" s="177">
        <f>C29*E29</f>
        <v>112139208.50278939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403077</v>
      </c>
      <c r="D30" s="174"/>
      <c r="E30" s="185">
        <f>$G$10</f>
        <v>1663.3893496688402</v>
      </c>
      <c r="F30" s="185"/>
      <c r="G30" s="174">
        <f>C30*E30</f>
        <v>670473988.89646709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83225</v>
      </c>
      <c r="D36" s="177"/>
      <c r="E36" s="177">
        <f>$G$29+$O$29</f>
        <v>112139208.50278939</v>
      </c>
      <c r="F36" s="177"/>
      <c r="G36" s="178">
        <f>E36/C36</f>
        <v>1347.4221508295511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>
        <v>46099</v>
      </c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403077</v>
      </c>
      <c r="D37" s="174"/>
      <c r="E37" s="174">
        <f>$G$30+$O$30</f>
        <v>670473988.89646709</v>
      </c>
      <c r="F37" s="174"/>
      <c r="G37" s="185">
        <f>E37/C37</f>
        <v>1663.3893496688402</v>
      </c>
      <c r="H37" s="212"/>
      <c r="I37" s="17"/>
      <c r="J37" s="18"/>
      <c r="K37" s="120"/>
      <c r="L37" s="18"/>
      <c r="M37" s="18"/>
      <c r="N37" s="24"/>
      <c r="O37" s="19"/>
      <c r="P37" s="19"/>
      <c r="R37" s="117" t="s">
        <v>61</v>
      </c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>
        <v>32000</v>
      </c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 t="s">
        <v>62</v>
      </c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83225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83225</v>
      </c>
      <c r="L43" s="231"/>
      <c r="M43" s="63">
        <f>SUM($K$43)/$D$9</f>
        <v>0.41612500000000002</v>
      </c>
      <c r="N43" s="64">
        <f>$G$36</f>
        <v>1347.4221508295511</v>
      </c>
      <c r="O43" s="103"/>
      <c r="P43" s="23"/>
      <c r="Q43" s="18"/>
    </row>
    <row r="44" spans="2:25" ht="24.75" customHeight="1">
      <c r="B44" s="65" t="s">
        <v>41</v>
      </c>
      <c r="C44" s="232">
        <f>SUM($E$10)</f>
        <v>403077</v>
      </c>
      <c r="D44" s="233"/>
      <c r="E44" s="66"/>
      <c r="F44" s="234">
        <f>$K$30</f>
        <v>0</v>
      </c>
      <c r="G44" s="235"/>
      <c r="H44" s="235">
        <f>$L$23</f>
        <v>0</v>
      </c>
      <c r="I44" s="235"/>
      <c r="J44" s="235"/>
      <c r="K44" s="236">
        <f>$C$44-$H$44+$F$44+$O$44</f>
        <v>403077</v>
      </c>
      <c r="L44" s="236"/>
      <c r="M44" s="67">
        <f>SUM($K$44)/D10</f>
        <v>0.80615400000000004</v>
      </c>
      <c r="N44" s="68">
        <f>$G$37</f>
        <v>1663.3893496688402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pageSetUpPr fitToPage="1"/>
  </sheetPr>
  <dimension ref="B1:Y124"/>
  <sheetViews>
    <sheetView showGridLines="0" topLeftCell="A28" zoomScaleNormal="100" workbookViewId="0">
      <selection activeCell="O30" sqref="O30:P30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SUM('0401'!$K$43:$L$43)</f>
        <v>83225</v>
      </c>
      <c r="F9" s="42">
        <f>SUM(E9)/D9</f>
        <v>0.41612500000000002</v>
      </c>
      <c r="G9" s="10">
        <f>SUM('0401'!$N$43)</f>
        <v>1347.4221508295511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SUM('0401'!$K$44:$L$44)</f>
        <v>403077</v>
      </c>
      <c r="F10" s="44">
        <f>SUM(E10)/D10</f>
        <v>0.80615400000000004</v>
      </c>
      <c r="G10" s="13">
        <f>SUM('0401'!$N$44)</f>
        <v>1663.3893496688402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 t="s">
        <v>51</v>
      </c>
      <c r="D16" s="37">
        <v>8000</v>
      </c>
      <c r="E16" s="37"/>
      <c r="F16" s="77">
        <f t="shared" ref="F16:F22" si="0">IF(D16="","",(SUM($G$9)))</f>
        <v>1347.4221508295511</v>
      </c>
      <c r="G16" s="78">
        <f t="shared" ref="G16:G22" si="1">IF(D16="","",(SUM(E16)-F16))</f>
        <v>-1347.4221508295511</v>
      </c>
      <c r="H16" s="79">
        <f t="shared" ref="H16:H22" si="2">IF(D16="","",(D16*G16))</f>
        <v>-10779377.206636408</v>
      </c>
      <c r="I16" s="17"/>
      <c r="J16" s="159" t="s">
        <v>22</v>
      </c>
      <c r="K16" s="36" t="s">
        <v>73</v>
      </c>
      <c r="L16" s="37">
        <v>20000</v>
      </c>
      <c r="M16" s="37"/>
      <c r="N16" s="94">
        <f t="shared" ref="N16:N22" si="3">IF(L16="","",($G$10))</f>
        <v>1663.3893496688402</v>
      </c>
      <c r="O16" s="95">
        <f t="shared" ref="O16:O22" si="4">IF(L16="","",(SUM(M16)-N16))</f>
        <v>-1663.3893496688402</v>
      </c>
      <c r="P16" s="96">
        <f t="shared" ref="P16:P22" si="5">IF(L16="","",(L16*O16))</f>
        <v>-33267786.993376803</v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10"/>
      <c r="L18" s="16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110"/>
      <c r="L19" s="16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8000</v>
      </c>
      <c r="E23" s="75"/>
      <c r="F23" s="75"/>
      <c r="G23" s="75"/>
      <c r="H23" s="76">
        <f>SUM(H16:H22)</f>
        <v>-10779377.206636408</v>
      </c>
      <c r="I23" s="106"/>
      <c r="J23" s="89" t="s">
        <v>24</v>
      </c>
      <c r="K23" s="90"/>
      <c r="L23" s="91">
        <f>SUM(L16:L22)</f>
        <v>20000</v>
      </c>
      <c r="M23" s="92"/>
      <c r="N23" s="92"/>
      <c r="O23" s="92"/>
      <c r="P23" s="93">
        <f>SUM(P16:P22)</f>
        <v>-33267786.993376803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75225</v>
      </c>
      <c r="D29" s="177"/>
      <c r="E29" s="178">
        <f>$G$9</f>
        <v>1347.4221508295511</v>
      </c>
      <c r="F29" s="178"/>
      <c r="G29" s="177">
        <f>C29*E29</f>
        <v>101359831.29615298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383077</v>
      </c>
      <c r="D30" s="174"/>
      <c r="E30" s="185">
        <f>$G$10</f>
        <v>1663.3893496688402</v>
      </c>
      <c r="F30" s="185"/>
      <c r="G30" s="174">
        <f>C30*E30</f>
        <v>637206201.90309024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75225</v>
      </c>
      <c r="D36" s="177"/>
      <c r="E36" s="177">
        <f>$G$29+$O$29</f>
        <v>101359831.29615298</v>
      </c>
      <c r="F36" s="177"/>
      <c r="G36" s="178">
        <f>E36/C36</f>
        <v>1347.4221508295511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>
        <v>46099</v>
      </c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383077</v>
      </c>
      <c r="D37" s="174"/>
      <c r="E37" s="174">
        <f>$G$30+$O$30</f>
        <v>637206201.90309024</v>
      </c>
      <c r="F37" s="174"/>
      <c r="G37" s="185">
        <f>E37/C37</f>
        <v>1663.3893496688399</v>
      </c>
      <c r="H37" s="212"/>
      <c r="I37" s="17"/>
      <c r="J37" s="18"/>
      <c r="K37" s="120"/>
      <c r="L37" s="18"/>
      <c r="M37" s="18"/>
      <c r="N37" s="24"/>
      <c r="O37" s="19"/>
      <c r="P37" s="19"/>
      <c r="R37" s="117" t="s">
        <v>61</v>
      </c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>
        <v>32000</v>
      </c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 t="s">
        <v>62</v>
      </c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83225</v>
      </c>
      <c r="D43" s="228"/>
      <c r="E43" s="62"/>
      <c r="F43" s="229">
        <f>$K$29</f>
        <v>0</v>
      </c>
      <c r="G43" s="230"/>
      <c r="H43" s="230">
        <f>$D$23</f>
        <v>8000</v>
      </c>
      <c r="I43" s="230"/>
      <c r="J43" s="230"/>
      <c r="K43" s="231">
        <f>$C$43-$H$43+$F$43+$O$43</f>
        <v>75225</v>
      </c>
      <c r="L43" s="231"/>
      <c r="M43" s="63">
        <f>SUM($K$43)/$D$9</f>
        <v>0.37612499999999999</v>
      </c>
      <c r="N43" s="64">
        <f>$G$36</f>
        <v>1347.4221508295511</v>
      </c>
      <c r="O43" s="103"/>
      <c r="P43" s="23"/>
      <c r="Q43" s="18"/>
    </row>
    <row r="44" spans="2:25" ht="24.75" customHeight="1">
      <c r="B44" s="65" t="s">
        <v>41</v>
      </c>
      <c r="C44" s="232">
        <f>SUM($E$10)</f>
        <v>403077</v>
      </c>
      <c r="D44" s="233"/>
      <c r="E44" s="66"/>
      <c r="F44" s="234">
        <f>$K$30</f>
        <v>0</v>
      </c>
      <c r="G44" s="235"/>
      <c r="H44" s="235">
        <f>$L$23</f>
        <v>20000</v>
      </c>
      <c r="I44" s="235"/>
      <c r="J44" s="235"/>
      <c r="K44" s="236">
        <f>$C$44-$H$44+$F$44+$O$44</f>
        <v>383077</v>
      </c>
      <c r="L44" s="236"/>
      <c r="M44" s="67">
        <f>SUM($K$44)/D10</f>
        <v>0.766154</v>
      </c>
      <c r="N44" s="68">
        <f>$G$37</f>
        <v>1663.3893496688399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rgb="FFFFFF00"/>
    <pageSetUpPr fitToPage="1"/>
  </sheetPr>
  <dimension ref="B1:Y124"/>
  <sheetViews>
    <sheetView showGridLines="0" topLeftCell="A22" zoomScaleNormal="100" workbookViewId="0">
      <selection activeCell="N38" sqref="N38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SUM('0402'!$K$43:$L$43)</f>
        <v>75225</v>
      </c>
      <c r="F9" s="42">
        <f>SUM(E9)/D9</f>
        <v>0.37612499999999999</v>
      </c>
      <c r="G9" s="10">
        <f>SUM('0402'!$N$43)</f>
        <v>1347.4221508295511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SUM('0402'!$K$44:$L$44)</f>
        <v>383077</v>
      </c>
      <c r="F10" s="44">
        <f>SUM(E10)/D10</f>
        <v>0.766154</v>
      </c>
      <c r="G10" s="13">
        <f>SUM('0402'!$N$44)</f>
        <v>1663.3893496688399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36"/>
      <c r="L16" s="37"/>
      <c r="M16" s="37"/>
      <c r="N16" s="94" t="str">
        <f t="shared" ref="N16:N22" si="3">IF(L16="","",($G$10))</f>
        <v/>
      </c>
      <c r="O16" s="95" t="str">
        <f t="shared" ref="O16:O22" si="4">IF(L16="","",(SUM(M16)-N16))</f>
        <v/>
      </c>
      <c r="P16" s="96" t="str">
        <f t="shared" ref="P16:P22" si="5">IF(L16="","",(L16*O16))</f>
        <v/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10"/>
      <c r="L18" s="16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110"/>
      <c r="L19" s="16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0</v>
      </c>
      <c r="M23" s="92"/>
      <c r="N23" s="92"/>
      <c r="O23" s="92"/>
      <c r="P23" s="93">
        <f>SUM(P16:P22)</f>
        <v>0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75225</v>
      </c>
      <c r="D29" s="177"/>
      <c r="E29" s="178">
        <f>$G$9</f>
        <v>1347.4221508295511</v>
      </c>
      <c r="F29" s="178"/>
      <c r="G29" s="177">
        <f>C29*E29</f>
        <v>101359831.29615298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383077</v>
      </c>
      <c r="D30" s="174"/>
      <c r="E30" s="185">
        <f>$G$10</f>
        <v>1663.3893496688399</v>
      </c>
      <c r="F30" s="185"/>
      <c r="G30" s="174">
        <f>C30*E30</f>
        <v>637206201.90309024</v>
      </c>
      <c r="H30" s="175"/>
      <c r="I30" s="17"/>
      <c r="J30" s="50" t="s">
        <v>11</v>
      </c>
      <c r="K30" s="186">
        <v>32090</v>
      </c>
      <c r="L30" s="187"/>
      <c r="M30" s="237">
        <v>1889.0135177380901</v>
      </c>
      <c r="N30" s="238"/>
      <c r="O30" s="174">
        <f>K30*M30</f>
        <v>60618443.784215309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75225</v>
      </c>
      <c r="D36" s="177"/>
      <c r="E36" s="177">
        <f>$G$29+$O$29</f>
        <v>101359831.29615298</v>
      </c>
      <c r="F36" s="177"/>
      <c r="G36" s="178">
        <f>E36/C36</f>
        <v>1347.4221508295511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>
        <v>46099</v>
      </c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415167</v>
      </c>
      <c r="D37" s="174"/>
      <c r="E37" s="174">
        <f>$G$30+$O$30</f>
        <v>697824645.68730557</v>
      </c>
      <c r="F37" s="174"/>
      <c r="G37" s="185">
        <f>E37/C37</f>
        <v>1680.8287886255544</v>
      </c>
      <c r="H37" s="212"/>
      <c r="I37" s="17"/>
      <c r="J37" s="18"/>
      <c r="K37" s="120"/>
      <c r="L37" s="18"/>
      <c r="M37" s="18"/>
      <c r="N37" s="24"/>
      <c r="O37" s="19"/>
      <c r="P37" s="19"/>
      <c r="R37" s="117" t="s">
        <v>61</v>
      </c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>
        <v>32000</v>
      </c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 t="s">
        <v>62</v>
      </c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75225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75225</v>
      </c>
      <c r="L43" s="231"/>
      <c r="M43" s="63">
        <f>SUM($K$43)/$D$9</f>
        <v>0.37612499999999999</v>
      </c>
      <c r="N43" s="64">
        <f>$G$36</f>
        <v>1347.4221508295511</v>
      </c>
      <c r="O43" s="103"/>
      <c r="P43" s="23"/>
      <c r="Q43" s="18"/>
    </row>
    <row r="44" spans="2:25" ht="24.75" customHeight="1">
      <c r="B44" s="65" t="s">
        <v>41</v>
      </c>
      <c r="C44" s="232">
        <f>SUM($E$10)</f>
        <v>383077</v>
      </c>
      <c r="D44" s="233"/>
      <c r="E44" s="66"/>
      <c r="F44" s="234">
        <f>$K$30</f>
        <v>32090</v>
      </c>
      <c r="G44" s="235"/>
      <c r="H44" s="235">
        <f>$L$23</f>
        <v>0</v>
      </c>
      <c r="I44" s="235"/>
      <c r="J44" s="235"/>
      <c r="K44" s="236">
        <f>$C$44-$H$44+$F$44+$O$44</f>
        <v>415167</v>
      </c>
      <c r="L44" s="236"/>
      <c r="M44" s="67">
        <f>SUM($K$44)/D10</f>
        <v>0.83033400000000002</v>
      </c>
      <c r="N44" s="68">
        <f>$G$37</f>
        <v>1680.8287886255544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rgb="FFFFFF00"/>
    <pageSetUpPr fitToPage="1"/>
  </sheetPr>
  <dimension ref="B1:Y124"/>
  <sheetViews>
    <sheetView showGridLines="0" topLeftCell="A26" zoomScaleNormal="100" workbookViewId="0">
      <selection activeCell="M30" sqref="M30:N30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SUM('0403 (입고)'!$K$43:$L$43)</f>
        <v>75225</v>
      </c>
      <c r="F9" s="42">
        <f>SUM(E9)/D9</f>
        <v>0.37612499999999999</v>
      </c>
      <c r="G9" s="10">
        <f>SUM('0403 (입고)'!$N$43)</f>
        <v>1347.4221508295511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SUM('0403 (입고)'!$K$44:$L$44)</f>
        <v>415167</v>
      </c>
      <c r="F10" s="44">
        <f>SUM(E10)/D10</f>
        <v>0.83033400000000002</v>
      </c>
      <c r="G10" s="13">
        <f>SUM('0403 (입고)'!$N$44)</f>
        <v>1680.8287886255544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36"/>
      <c r="L16" s="37"/>
      <c r="M16" s="37"/>
      <c r="N16" s="94" t="str">
        <f t="shared" ref="N16:N22" si="3">IF(L16="","",($G$10))</f>
        <v/>
      </c>
      <c r="O16" s="95" t="str">
        <f t="shared" ref="O16:O22" si="4">IF(L16="","",(SUM(M16)-N16))</f>
        <v/>
      </c>
      <c r="P16" s="96" t="str">
        <f t="shared" ref="P16:P22" si="5">IF(L16="","",(L16*O16))</f>
        <v/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10"/>
      <c r="L18" s="16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110"/>
      <c r="L19" s="16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0</v>
      </c>
      <c r="M23" s="92"/>
      <c r="N23" s="92"/>
      <c r="O23" s="92"/>
      <c r="P23" s="93">
        <f>SUM(P16:P22)</f>
        <v>0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75225</v>
      </c>
      <c r="D29" s="177"/>
      <c r="E29" s="178">
        <f>$G$9</f>
        <v>1347.4221508295511</v>
      </c>
      <c r="F29" s="178"/>
      <c r="G29" s="177">
        <f>C29*E29</f>
        <v>101359831.29615298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415167</v>
      </c>
      <c r="D30" s="174"/>
      <c r="E30" s="185">
        <f>$G$10</f>
        <v>1680.8287886255544</v>
      </c>
      <c r="F30" s="185"/>
      <c r="G30" s="174">
        <f>C30*E30</f>
        <v>697824645.68730557</v>
      </c>
      <c r="H30" s="175"/>
      <c r="I30" s="17"/>
      <c r="J30" s="50" t="s">
        <v>11</v>
      </c>
      <c r="K30" s="186">
        <v>32000</v>
      </c>
      <c r="L30" s="187"/>
      <c r="M30" s="237">
        <v>1889.0135177380901</v>
      </c>
      <c r="N30" s="238"/>
      <c r="O30" s="174">
        <f>K30*M30</f>
        <v>60448432.567618884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75225</v>
      </c>
      <c r="D36" s="177"/>
      <c r="E36" s="177">
        <f>$G$29+$O$29</f>
        <v>101359831.29615298</v>
      </c>
      <c r="F36" s="177"/>
      <c r="G36" s="178">
        <f>E36/C36</f>
        <v>1347.4221508295511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>
        <v>46099</v>
      </c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447167</v>
      </c>
      <c r="D37" s="174"/>
      <c r="E37" s="174">
        <f>$G$30+$O$30</f>
        <v>758273078.25492442</v>
      </c>
      <c r="F37" s="174"/>
      <c r="G37" s="185">
        <f>E37/C37</f>
        <v>1695.7268274602652</v>
      </c>
      <c r="H37" s="212"/>
      <c r="I37" s="17"/>
      <c r="J37" s="18"/>
      <c r="K37" s="120"/>
      <c r="L37" s="18"/>
      <c r="M37" s="18"/>
      <c r="N37" s="24"/>
      <c r="O37" s="19"/>
      <c r="P37" s="19"/>
      <c r="R37" s="117" t="s">
        <v>61</v>
      </c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>
        <v>32000</v>
      </c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 t="s">
        <v>62</v>
      </c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75225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75225</v>
      </c>
      <c r="L43" s="231"/>
      <c r="M43" s="63">
        <f>SUM($K$43)/$D$9</f>
        <v>0.37612499999999999</v>
      </c>
      <c r="N43" s="64">
        <f>$G$36</f>
        <v>1347.4221508295511</v>
      </c>
      <c r="O43" s="103"/>
      <c r="P43" s="23"/>
      <c r="Q43" s="18"/>
    </row>
    <row r="44" spans="2:25" ht="24.75" customHeight="1">
      <c r="B44" s="65" t="s">
        <v>41</v>
      </c>
      <c r="C44" s="232">
        <f>SUM($E$10)</f>
        <v>415167</v>
      </c>
      <c r="D44" s="233"/>
      <c r="E44" s="66"/>
      <c r="F44" s="234">
        <f>$K$30</f>
        <v>32000</v>
      </c>
      <c r="G44" s="235"/>
      <c r="H44" s="235">
        <f>$L$23</f>
        <v>0</v>
      </c>
      <c r="I44" s="235"/>
      <c r="J44" s="235"/>
      <c r="K44" s="236">
        <f>$C$44-$H$44+$F$44+$O$44</f>
        <v>447167</v>
      </c>
      <c r="L44" s="236"/>
      <c r="M44" s="67">
        <f>SUM($K$44)/D10</f>
        <v>0.89433399999999996</v>
      </c>
      <c r="N44" s="68">
        <f>$G$37</f>
        <v>1695.7268274602652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pageSetUpPr fitToPage="1"/>
  </sheetPr>
  <dimension ref="B1:Y124"/>
  <sheetViews>
    <sheetView showGridLines="0" topLeftCell="A29" zoomScaleNormal="100" workbookViewId="0">
      <selection activeCell="M48" sqref="M48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SUM('0406 (입고)'!$K$43:$L$43)</f>
        <v>75225</v>
      </c>
      <c r="F9" s="42">
        <f>SUM(E9)/D9</f>
        <v>0.37612499999999999</v>
      </c>
      <c r="G9" s="10">
        <f>SUM('0406 (입고)'!$N$43)</f>
        <v>1347.4221508295511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SUM('0406 (입고)'!$K$44:$L$44)</f>
        <v>447167</v>
      </c>
      <c r="F10" s="44">
        <f>SUM(E10)/D10</f>
        <v>0.89433399999999996</v>
      </c>
      <c r="G10" s="13">
        <f>SUM('0406 (입고)'!$N$44)</f>
        <v>1695.7268274602652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36" t="s">
        <v>74</v>
      </c>
      <c r="L16" s="37">
        <v>16000</v>
      </c>
      <c r="M16" s="37"/>
      <c r="N16" s="94">
        <f t="shared" ref="N16:N22" si="3">IF(L16="","",($G$10))</f>
        <v>1695.7268274602652</v>
      </c>
      <c r="O16" s="95">
        <f t="shared" ref="O16:O22" si="4">IF(L16="","",(SUM(M16)-N16))</f>
        <v>-1695.7268274602652</v>
      </c>
      <c r="P16" s="96">
        <f t="shared" ref="P16:P22" si="5">IF(L16="","",(L16*O16))</f>
        <v>-27131629.239364244</v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 t="s">
        <v>75</v>
      </c>
      <c r="L17" s="16">
        <v>12000</v>
      </c>
      <c r="M17" s="16"/>
      <c r="N17" s="97">
        <f t="shared" si="3"/>
        <v>1695.7268274602652</v>
      </c>
      <c r="O17" s="98">
        <f t="shared" si="4"/>
        <v>-1695.7268274602652</v>
      </c>
      <c r="P17" s="99">
        <f t="shared" si="5"/>
        <v>-20348721.929523181</v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10"/>
      <c r="L18" s="16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110"/>
      <c r="L19" s="16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28000</v>
      </c>
      <c r="M23" s="92"/>
      <c r="N23" s="92"/>
      <c r="O23" s="92"/>
      <c r="P23" s="93">
        <f>SUM(P16:P22)</f>
        <v>-47480351.168887421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75225</v>
      </c>
      <c r="D29" s="177"/>
      <c r="E29" s="178">
        <f>$G$9</f>
        <v>1347.4221508295511</v>
      </c>
      <c r="F29" s="178"/>
      <c r="G29" s="177">
        <f>C29*E29</f>
        <v>101359831.29615298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419167</v>
      </c>
      <c r="D30" s="174"/>
      <c r="E30" s="185">
        <f>$G$10</f>
        <v>1695.7268274602652</v>
      </c>
      <c r="F30" s="185"/>
      <c r="G30" s="174">
        <f>C30*E30</f>
        <v>710792727.08603704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75225</v>
      </c>
      <c r="D36" s="177"/>
      <c r="E36" s="177">
        <f>$G$29+$O$29</f>
        <v>101359831.29615298</v>
      </c>
      <c r="F36" s="177"/>
      <c r="G36" s="178">
        <f>E36/C36</f>
        <v>1347.4221508295511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419167</v>
      </c>
      <c r="D37" s="174"/>
      <c r="E37" s="174">
        <f>$G$30+$O$30</f>
        <v>710792727.08603704</v>
      </c>
      <c r="F37" s="174"/>
      <c r="G37" s="185">
        <f>E37/C37</f>
        <v>1695.7268274602654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75225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75225</v>
      </c>
      <c r="L43" s="231"/>
      <c r="M43" s="63">
        <f>SUM($K$43)/$D$9</f>
        <v>0.37612499999999999</v>
      </c>
      <c r="N43" s="64">
        <f>$G$36</f>
        <v>1347.4221508295511</v>
      </c>
      <c r="O43" s="103"/>
      <c r="P43" s="23"/>
      <c r="Q43" s="125">
        <v>46119</v>
      </c>
      <c r="R43" s="2" t="s">
        <v>61</v>
      </c>
      <c r="S43" s="2">
        <v>32000</v>
      </c>
      <c r="T43" s="2" t="s">
        <v>76</v>
      </c>
    </row>
    <row r="44" spans="2:25" ht="24.75" customHeight="1">
      <c r="B44" s="65" t="s">
        <v>41</v>
      </c>
      <c r="C44" s="232">
        <f>SUM($E$10)</f>
        <v>447167</v>
      </c>
      <c r="D44" s="233"/>
      <c r="E44" s="66"/>
      <c r="F44" s="234">
        <f>$K$30</f>
        <v>0</v>
      </c>
      <c r="G44" s="235"/>
      <c r="H44" s="235">
        <f>$L$23</f>
        <v>28000</v>
      </c>
      <c r="I44" s="235"/>
      <c r="J44" s="235"/>
      <c r="K44" s="236">
        <f>$C$44-$H$44+$F$44+$O$44</f>
        <v>419167</v>
      </c>
      <c r="L44" s="236"/>
      <c r="M44" s="67">
        <f>SUM($K$44)/D10</f>
        <v>0.83833400000000002</v>
      </c>
      <c r="N44" s="68">
        <f>$G$37</f>
        <v>1695.7268274602654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rgb="FFFFFF00"/>
    <pageSetUpPr fitToPage="1"/>
  </sheetPr>
  <dimension ref="B1:Y124"/>
  <sheetViews>
    <sheetView showGridLines="0" topLeftCell="A29" zoomScaleNormal="100" workbookViewId="0">
      <selection activeCell="M30" sqref="M30:N30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SUM('0406'!$K$43:$L$43)</f>
        <v>75225</v>
      </c>
      <c r="F9" s="42">
        <f>SUM(E9)/D9</f>
        <v>0.37612499999999999</v>
      </c>
      <c r="G9" s="10">
        <f>SUM('0406'!$N$43)</f>
        <v>1347.4221508295511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SUM('0406'!$K$44:$L$44)</f>
        <v>419167</v>
      </c>
      <c r="F10" s="44">
        <f>SUM(E10)/D10</f>
        <v>0.83833400000000002</v>
      </c>
      <c r="G10" s="13">
        <f>SUM('0406'!$N$44)</f>
        <v>1695.7268274602654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36"/>
      <c r="L16" s="37"/>
      <c r="M16" s="37"/>
      <c r="N16" s="94" t="str">
        <f t="shared" ref="N16:N22" si="3">IF(L16="","",($G$10))</f>
        <v/>
      </c>
      <c r="O16" s="95" t="str">
        <f t="shared" ref="O16:O22" si="4">IF(L16="","",(SUM(M16)-N16))</f>
        <v/>
      </c>
      <c r="P16" s="96" t="str">
        <f t="shared" ref="P16:P22" si="5">IF(L16="","",(L16*O16))</f>
        <v/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10"/>
      <c r="L18" s="16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110"/>
      <c r="L19" s="16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0</v>
      </c>
      <c r="M23" s="92"/>
      <c r="N23" s="92"/>
      <c r="O23" s="92"/>
      <c r="P23" s="93">
        <f>SUM(P16:P22)</f>
        <v>0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75225</v>
      </c>
      <c r="D29" s="177"/>
      <c r="E29" s="178">
        <f>$G$9</f>
        <v>1347.4221508295511</v>
      </c>
      <c r="F29" s="178"/>
      <c r="G29" s="177">
        <f>C29*E29</f>
        <v>101359831.29615298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419167</v>
      </c>
      <c r="D30" s="174"/>
      <c r="E30" s="185">
        <f>$G$10</f>
        <v>1695.7268274602654</v>
      </c>
      <c r="F30" s="185"/>
      <c r="G30" s="174">
        <f>C30*E30</f>
        <v>710792727.08603704</v>
      </c>
      <c r="H30" s="175"/>
      <c r="I30" s="17"/>
      <c r="J30" s="50" t="s">
        <v>11</v>
      </c>
      <c r="K30" s="186">
        <v>96144</v>
      </c>
      <c r="L30" s="187"/>
      <c r="M30" s="237">
        <v>1889.0135177380901</v>
      </c>
      <c r="N30" s="238"/>
      <c r="O30" s="174">
        <f>K30*M30</f>
        <v>181617315.64941093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75225</v>
      </c>
      <c r="D36" s="177"/>
      <c r="E36" s="177">
        <f>$G$29+$O$29</f>
        <v>101359831.29615298</v>
      </c>
      <c r="F36" s="177"/>
      <c r="G36" s="178">
        <f>E36/C36</f>
        <v>1347.4221508295511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515311</v>
      </c>
      <c r="D37" s="174"/>
      <c r="E37" s="174">
        <f>$G$30+$O$30</f>
        <v>892410042.735448</v>
      </c>
      <c r="F37" s="174"/>
      <c r="G37" s="185">
        <f>E37/C37</f>
        <v>1731.789235501373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75225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75225</v>
      </c>
      <c r="L43" s="231"/>
      <c r="M43" s="63">
        <f>SUM($K$43)/$D$9</f>
        <v>0.37612499999999999</v>
      </c>
      <c r="N43" s="64">
        <f>$G$36</f>
        <v>1347.4221508295511</v>
      </c>
      <c r="O43" s="103"/>
      <c r="P43" s="23"/>
      <c r="Q43" s="125">
        <v>46119</v>
      </c>
      <c r="R43" s="2" t="s">
        <v>61</v>
      </c>
      <c r="S43" s="2">
        <v>32000</v>
      </c>
      <c r="T43" s="2" t="s">
        <v>76</v>
      </c>
    </row>
    <row r="44" spans="2:25" ht="24.75" customHeight="1">
      <c r="B44" s="65" t="s">
        <v>41</v>
      </c>
      <c r="C44" s="232">
        <f>SUM($E$10)</f>
        <v>419167</v>
      </c>
      <c r="D44" s="233"/>
      <c r="E44" s="66"/>
      <c r="F44" s="234">
        <f>$K$30</f>
        <v>96144</v>
      </c>
      <c r="G44" s="235"/>
      <c r="H44" s="235">
        <f>$L$23</f>
        <v>0</v>
      </c>
      <c r="I44" s="235"/>
      <c r="J44" s="235"/>
      <c r="K44" s="236">
        <f>$C$44-$H$44+$F$44+$O$44</f>
        <v>515311</v>
      </c>
      <c r="L44" s="236"/>
      <c r="M44" s="67">
        <f>SUM($K$44)/D10</f>
        <v>1.0306219999999999</v>
      </c>
      <c r="N44" s="68">
        <f>$G$37</f>
        <v>1731.789235501373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pageSetUpPr fitToPage="1"/>
  </sheetPr>
  <dimension ref="B1:Y124"/>
  <sheetViews>
    <sheetView showGridLines="0" topLeftCell="A25" zoomScaleNormal="100" workbookViewId="0">
      <selection activeCell="L18" sqref="L18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SUM('0407 (입고)'!$K$43:$L$43)</f>
        <v>75225</v>
      </c>
      <c r="F9" s="42">
        <f>SUM(E9)/D9</f>
        <v>0.37612499999999999</v>
      </c>
      <c r="G9" s="10">
        <f>SUM('0407 (입고)'!$N$43)</f>
        <v>1347.4221508295511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SUM('0407 (입고)'!$K$44:$L$44)</f>
        <v>515311</v>
      </c>
      <c r="F10" s="44">
        <f>SUM(E10)/D10</f>
        <v>1.0306219999999999</v>
      </c>
      <c r="G10" s="13">
        <f>SUM('0407 (입고)'!$N$44)</f>
        <v>1731.789235501373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 t="s">
        <v>61</v>
      </c>
      <c r="D16" s="37">
        <v>3000</v>
      </c>
      <c r="E16" s="37"/>
      <c r="F16" s="77">
        <f t="shared" ref="F16:F22" si="0">IF(D16="","",(SUM($G$9)))</f>
        <v>1347.4221508295511</v>
      </c>
      <c r="G16" s="78">
        <f t="shared" ref="G16:G22" si="1">IF(D16="","",(SUM(E16)-F16))</f>
        <v>-1347.4221508295511</v>
      </c>
      <c r="H16" s="79">
        <f t="shared" ref="H16:H22" si="2">IF(D16="","",(D16*G16))</f>
        <v>-4042266.4524886534</v>
      </c>
      <c r="I16" s="17"/>
      <c r="J16" s="159" t="s">
        <v>22</v>
      </c>
      <c r="K16" s="36" t="s">
        <v>60</v>
      </c>
      <c r="L16" s="37">
        <v>32000</v>
      </c>
      <c r="M16" s="37"/>
      <c r="N16" s="94">
        <f t="shared" ref="N16:N22" si="3">IF(L16="","",($G$10))</f>
        <v>1731.789235501373</v>
      </c>
      <c r="O16" s="95">
        <f t="shared" ref="O16:O22" si="4">IF(L16="","",(SUM(M16)-N16))</f>
        <v>-1731.789235501373</v>
      </c>
      <c r="P16" s="96">
        <f t="shared" ref="P16:P22" si="5">IF(L16="","",(L16*O16))</f>
        <v>-55417255.536043935</v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 t="s">
        <v>77</v>
      </c>
      <c r="L17" s="16">
        <v>64144</v>
      </c>
      <c r="M17" s="16"/>
      <c r="N17" s="97">
        <f t="shared" si="3"/>
        <v>1731.789235501373</v>
      </c>
      <c r="O17" s="98">
        <f t="shared" si="4"/>
        <v>-1731.789235501373</v>
      </c>
      <c r="P17" s="99">
        <f t="shared" si="5"/>
        <v>-111083888.72200008</v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10"/>
      <c r="L18" s="16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110"/>
      <c r="L19" s="16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3000</v>
      </c>
      <c r="E23" s="75"/>
      <c r="F23" s="75"/>
      <c r="G23" s="75"/>
      <c r="H23" s="76">
        <f>SUM(H16:H22)</f>
        <v>-4042266.4524886534</v>
      </c>
      <c r="I23" s="106"/>
      <c r="J23" s="89" t="s">
        <v>24</v>
      </c>
      <c r="K23" s="90"/>
      <c r="L23" s="91">
        <f>SUM(L16:L22)</f>
        <v>96144</v>
      </c>
      <c r="M23" s="92"/>
      <c r="N23" s="92"/>
      <c r="O23" s="92"/>
      <c r="P23" s="93">
        <f>SUM(P16:P22)</f>
        <v>-166501144.258044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72225</v>
      </c>
      <c r="D29" s="177"/>
      <c r="E29" s="178">
        <f>$G$9</f>
        <v>1347.4221508295511</v>
      </c>
      <c r="F29" s="178"/>
      <c r="G29" s="177">
        <f>C29*E29</f>
        <v>97317564.843664333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419167</v>
      </c>
      <c r="D30" s="174"/>
      <c r="E30" s="185">
        <f>$G$10</f>
        <v>1731.789235501373</v>
      </c>
      <c r="F30" s="185"/>
      <c r="G30" s="174">
        <f>C30*E30</f>
        <v>725908898.477404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72225</v>
      </c>
      <c r="D36" s="177"/>
      <c r="E36" s="177">
        <f>$G$29+$O$29</f>
        <v>97317564.843664333</v>
      </c>
      <c r="F36" s="177"/>
      <c r="G36" s="178">
        <f>E36/C36</f>
        <v>1347.4221508295511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419167</v>
      </c>
      <c r="D37" s="174"/>
      <c r="E37" s="174">
        <f>$G$30+$O$30</f>
        <v>725908898.477404</v>
      </c>
      <c r="F37" s="174"/>
      <c r="G37" s="185">
        <f>E37/C37</f>
        <v>1731.789235501373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75225</v>
      </c>
      <c r="D43" s="228"/>
      <c r="E43" s="62"/>
      <c r="F43" s="229">
        <f>$K$29</f>
        <v>0</v>
      </c>
      <c r="G43" s="230"/>
      <c r="H43" s="230">
        <f>$D$23</f>
        <v>3000</v>
      </c>
      <c r="I43" s="230"/>
      <c r="J43" s="230"/>
      <c r="K43" s="231">
        <f>$C$43-$H$43+$F$43+$O$43</f>
        <v>72225</v>
      </c>
      <c r="L43" s="231"/>
      <c r="M43" s="63">
        <f>SUM($K$43)/$D$9</f>
        <v>0.36112499999999997</v>
      </c>
      <c r="N43" s="64">
        <f>$G$36</f>
        <v>1347.4221508295511</v>
      </c>
      <c r="O43" s="103"/>
      <c r="P43" s="23"/>
      <c r="Q43" s="125">
        <v>46119</v>
      </c>
      <c r="R43" s="2" t="s">
        <v>61</v>
      </c>
      <c r="S43" s="2">
        <v>32000</v>
      </c>
      <c r="T43" s="2" t="s">
        <v>76</v>
      </c>
    </row>
    <row r="44" spans="2:25" ht="24.75" customHeight="1">
      <c r="B44" s="65" t="s">
        <v>41</v>
      </c>
      <c r="C44" s="232">
        <f>SUM($E$10)</f>
        <v>515311</v>
      </c>
      <c r="D44" s="233"/>
      <c r="E44" s="66"/>
      <c r="F44" s="234">
        <f>$K$30</f>
        <v>0</v>
      </c>
      <c r="G44" s="235"/>
      <c r="H44" s="235">
        <f>$L$23</f>
        <v>96144</v>
      </c>
      <c r="I44" s="235"/>
      <c r="J44" s="235"/>
      <c r="K44" s="236">
        <f>$C$44-$H$44+$F$44+$O$44</f>
        <v>419167</v>
      </c>
      <c r="L44" s="236"/>
      <c r="M44" s="67">
        <f>SUM($K$44)/D10</f>
        <v>0.83833400000000002</v>
      </c>
      <c r="N44" s="68">
        <f>$G$37</f>
        <v>1731.789235501373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rgb="FFFFFF00"/>
    <pageSetUpPr fitToPage="1"/>
  </sheetPr>
  <dimension ref="B1:Y124"/>
  <sheetViews>
    <sheetView showGridLines="0" topLeftCell="A21" zoomScaleNormal="100" workbookViewId="0">
      <selection activeCell="M30" sqref="M30:N30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SUM('0407'!$K$43:$L$43)</f>
        <v>72225</v>
      </c>
      <c r="F9" s="42">
        <f>SUM(E9)/D9</f>
        <v>0.36112499999999997</v>
      </c>
      <c r="G9" s="10">
        <f>SUM('0407'!$N$43)</f>
        <v>1347.4221508295511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SUM('0407'!$K$44:$L$44)</f>
        <v>419167</v>
      </c>
      <c r="F10" s="44">
        <f>SUM(E10)/D10</f>
        <v>0.83833400000000002</v>
      </c>
      <c r="G10" s="13">
        <f>SUM('0407'!$N$44)</f>
        <v>1731.789235501373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36"/>
      <c r="L16" s="37"/>
      <c r="M16" s="37"/>
      <c r="N16" s="94" t="str">
        <f t="shared" ref="N16:N22" si="3">IF(L16="","",($G$10))</f>
        <v/>
      </c>
      <c r="O16" s="95" t="str">
        <f t="shared" ref="O16:O22" si="4">IF(L16="","",(SUM(M16)-N16))</f>
        <v/>
      </c>
      <c r="P16" s="96" t="str">
        <f t="shared" ref="P16:P22" si="5">IF(L16="","",(L16*O16))</f>
        <v/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10"/>
      <c r="L18" s="16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110"/>
      <c r="L19" s="16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0</v>
      </c>
      <c r="M23" s="92"/>
      <c r="N23" s="92"/>
      <c r="O23" s="92"/>
      <c r="P23" s="93">
        <f>SUM(P16:P22)</f>
        <v>0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72225</v>
      </c>
      <c r="D29" s="177"/>
      <c r="E29" s="178">
        <f>$G$9</f>
        <v>1347.4221508295511</v>
      </c>
      <c r="F29" s="178"/>
      <c r="G29" s="177">
        <f>C29*E29</f>
        <v>97317564.843664333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419167</v>
      </c>
      <c r="D30" s="174"/>
      <c r="E30" s="185">
        <f>$G$10</f>
        <v>1731.789235501373</v>
      </c>
      <c r="F30" s="185"/>
      <c r="G30" s="174">
        <f>C30*E30</f>
        <v>725908898.477404</v>
      </c>
      <c r="H30" s="175"/>
      <c r="I30" s="17"/>
      <c r="J30" s="50" t="s">
        <v>11</v>
      </c>
      <c r="K30" s="186">
        <v>48000</v>
      </c>
      <c r="L30" s="187"/>
      <c r="M30" s="237">
        <v>1889.0135177380901</v>
      </c>
      <c r="N30" s="238"/>
      <c r="O30" s="174">
        <f>K30*M30</f>
        <v>90672648.85142833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72225</v>
      </c>
      <c r="D36" s="177"/>
      <c r="E36" s="177">
        <f>$G$29+$O$29</f>
        <v>97317564.843664333</v>
      </c>
      <c r="F36" s="177"/>
      <c r="G36" s="178">
        <f>E36/C36</f>
        <v>1347.4221508295511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467167</v>
      </c>
      <c r="D37" s="174"/>
      <c r="E37" s="174">
        <f>$G$30+$O$30</f>
        <v>816581547.32883239</v>
      </c>
      <c r="F37" s="174"/>
      <c r="G37" s="185">
        <f>E37/C37</f>
        <v>1747.943556220436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72225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72225</v>
      </c>
      <c r="L43" s="231"/>
      <c r="M43" s="63">
        <f>SUM($K$43)/$D$9</f>
        <v>0.36112499999999997</v>
      </c>
      <c r="N43" s="64">
        <f>$G$36</f>
        <v>1347.4221508295511</v>
      </c>
      <c r="O43" s="103"/>
      <c r="P43" s="23"/>
      <c r="Q43" s="125">
        <v>46119</v>
      </c>
      <c r="R43" s="2" t="s">
        <v>61</v>
      </c>
      <c r="S43" s="2">
        <v>32000</v>
      </c>
      <c r="T43" s="2" t="s">
        <v>76</v>
      </c>
    </row>
    <row r="44" spans="2:25" ht="24.75" customHeight="1">
      <c r="B44" s="65" t="s">
        <v>41</v>
      </c>
      <c r="C44" s="232">
        <f>SUM($E$10)</f>
        <v>419167</v>
      </c>
      <c r="D44" s="233"/>
      <c r="E44" s="66"/>
      <c r="F44" s="234">
        <f>$K$30</f>
        <v>48000</v>
      </c>
      <c r="G44" s="235"/>
      <c r="H44" s="235">
        <f>$L$23</f>
        <v>0</v>
      </c>
      <c r="I44" s="235"/>
      <c r="J44" s="235"/>
      <c r="K44" s="236">
        <f>$C$44-$H$44+$F$44+$O$44</f>
        <v>467167</v>
      </c>
      <c r="L44" s="236"/>
      <c r="M44" s="67">
        <f>SUM($K$44)/D10</f>
        <v>0.934334</v>
      </c>
      <c r="N44" s="68">
        <f>$G$37</f>
        <v>1747.943556220436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5:C46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pageSetUpPr fitToPage="1"/>
  </sheetPr>
  <dimension ref="B1:Y124"/>
  <sheetViews>
    <sheetView showGridLines="0" topLeftCell="A31" zoomScaleNormal="100" workbookViewId="0">
      <selection activeCell="Q48" sqref="Q48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SUM('0409 (입고)'!$K$43:$L$43)</f>
        <v>72225</v>
      </c>
      <c r="F9" s="42">
        <f>SUM(E9)/D9</f>
        <v>0.36112499999999997</v>
      </c>
      <c r="G9" s="10">
        <f>SUM('0409 (입고)'!$N$43)</f>
        <v>1347.4221508295511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SUM('0409 (입고)'!$K$44:$L$44)</f>
        <v>467167</v>
      </c>
      <c r="F10" s="44">
        <f>SUM(E10)/D10</f>
        <v>0.934334</v>
      </c>
      <c r="G10" s="13">
        <f>SUM('0409 (입고)'!$N$44)</f>
        <v>1747.943556220436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36" t="s">
        <v>67</v>
      </c>
      <c r="L16" s="37">
        <v>28000</v>
      </c>
      <c r="M16" s="37"/>
      <c r="N16" s="94">
        <f t="shared" ref="N16:N22" si="3">IF(L16="","",($G$10))</f>
        <v>1747.943556220436</v>
      </c>
      <c r="O16" s="95">
        <f t="shared" ref="O16:O22" si="4">IF(L16="","",(SUM(M16)-N16))</f>
        <v>-1747.943556220436</v>
      </c>
      <c r="P16" s="96">
        <f t="shared" ref="P16:P22" si="5">IF(L16="","",(L16*O16))</f>
        <v>-48942419.574172206</v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 t="s">
        <v>78</v>
      </c>
      <c r="L17" s="16">
        <v>20000</v>
      </c>
      <c r="M17" s="16"/>
      <c r="N17" s="97">
        <f t="shared" si="3"/>
        <v>1747.943556220436</v>
      </c>
      <c r="O17" s="98">
        <f t="shared" si="4"/>
        <v>-1747.943556220436</v>
      </c>
      <c r="P17" s="99">
        <f t="shared" si="5"/>
        <v>-34958871.124408722</v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10"/>
      <c r="L18" s="16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110"/>
      <c r="L19" s="16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48000</v>
      </c>
      <c r="M23" s="92"/>
      <c r="N23" s="92"/>
      <c r="O23" s="92"/>
      <c r="P23" s="93">
        <f>SUM(P16:P22)</f>
        <v>-83901290.698580921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72225</v>
      </c>
      <c r="D29" s="177"/>
      <c r="E29" s="178">
        <f>$G$9</f>
        <v>1347.4221508295511</v>
      </c>
      <c r="F29" s="178"/>
      <c r="G29" s="177">
        <f>C29*E29</f>
        <v>97317564.843664333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419167</v>
      </c>
      <c r="D30" s="174"/>
      <c r="E30" s="185">
        <f>$G$10</f>
        <v>1747.943556220436</v>
      </c>
      <c r="F30" s="185"/>
      <c r="G30" s="174">
        <f>C30*E30</f>
        <v>732680256.63025153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72225</v>
      </c>
      <c r="D36" s="177"/>
      <c r="E36" s="177">
        <f>$G$29+$O$29</f>
        <v>97317564.843664333</v>
      </c>
      <c r="F36" s="177"/>
      <c r="G36" s="178">
        <f>E36/C36</f>
        <v>1347.4221508295511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419167</v>
      </c>
      <c r="D37" s="174"/>
      <c r="E37" s="174">
        <f>$G$30+$O$30</f>
        <v>732680256.63025153</v>
      </c>
      <c r="F37" s="174"/>
      <c r="G37" s="185">
        <f>E37/C37</f>
        <v>1747.943556220436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72225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72225</v>
      </c>
      <c r="L43" s="231"/>
      <c r="M43" s="63">
        <f>SUM($K$43)/$D$9</f>
        <v>0.36112499999999997</v>
      </c>
      <c r="N43" s="64">
        <f>$G$36</f>
        <v>1347.4221508295511</v>
      </c>
      <c r="O43" s="103"/>
      <c r="P43" s="23"/>
      <c r="Q43" s="125">
        <v>46119</v>
      </c>
      <c r="R43" s="2" t="s">
        <v>61</v>
      </c>
      <c r="S43" s="2">
        <v>32000</v>
      </c>
      <c r="T43" s="2" t="s">
        <v>76</v>
      </c>
    </row>
    <row r="44" spans="2:25" ht="24.75" customHeight="1">
      <c r="B44" s="65" t="s">
        <v>41</v>
      </c>
      <c r="C44" s="232">
        <f>SUM($E$10)</f>
        <v>467167</v>
      </c>
      <c r="D44" s="233"/>
      <c r="E44" s="66"/>
      <c r="F44" s="234">
        <f>$K$30</f>
        <v>0</v>
      </c>
      <c r="G44" s="235"/>
      <c r="H44" s="235">
        <f>$L$23</f>
        <v>48000</v>
      </c>
      <c r="I44" s="235"/>
      <c r="J44" s="235"/>
      <c r="K44" s="236">
        <f>$C$44-$H$44+$F$44+$O$44</f>
        <v>419167</v>
      </c>
      <c r="L44" s="236"/>
      <c r="M44" s="67">
        <f>SUM($K$44)/D10</f>
        <v>0.83833400000000002</v>
      </c>
      <c r="N44" s="68">
        <f>$G$37</f>
        <v>1747.943556220436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5:C46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pageSetUpPr fitToPage="1"/>
  </sheetPr>
  <dimension ref="B1:Y124"/>
  <sheetViews>
    <sheetView showGridLines="0" topLeftCell="A31" zoomScaleNormal="100" workbookViewId="0">
      <selection activeCell="R36" sqref="R36:S36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SUM('0409'!$K$43:$L$43)</f>
        <v>72225</v>
      </c>
      <c r="F9" s="42">
        <f>SUM(E9)/D9</f>
        <v>0.36112499999999997</v>
      </c>
      <c r="G9" s="10">
        <f>SUM('0409'!$N$43)</f>
        <v>1347.4221508295511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SUM('0409'!$K$44:$L$44)</f>
        <v>419167</v>
      </c>
      <c r="F10" s="44">
        <f>SUM(E10)/D10</f>
        <v>0.83833400000000002</v>
      </c>
      <c r="G10" s="13">
        <f>SUM('0409'!$N$44)</f>
        <v>1747.943556220436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 t="s">
        <v>49</v>
      </c>
      <c r="D16" s="37">
        <v>4000</v>
      </c>
      <c r="E16" s="37"/>
      <c r="F16" s="77">
        <f t="shared" ref="F16:F22" si="0">IF(D16="","",(SUM($G$9)))</f>
        <v>1347.4221508295511</v>
      </c>
      <c r="G16" s="78">
        <f t="shared" ref="G16:G22" si="1">IF(D16="","",(SUM(E16)-F16))</f>
        <v>-1347.4221508295511</v>
      </c>
      <c r="H16" s="79">
        <f t="shared" ref="H16:H22" si="2">IF(D16="","",(D16*G16))</f>
        <v>-5389688.6033182042</v>
      </c>
      <c r="I16" s="17"/>
      <c r="J16" s="159" t="s">
        <v>22</v>
      </c>
      <c r="K16" s="36" t="s">
        <v>75</v>
      </c>
      <c r="L16" s="37">
        <v>24000</v>
      </c>
      <c r="M16" s="37"/>
      <c r="N16" s="94">
        <f t="shared" ref="N16:N22" si="3">IF(L16="","",($G$10))</f>
        <v>1747.943556220436</v>
      </c>
      <c r="O16" s="95">
        <f t="shared" ref="O16:O22" si="4">IF(L16="","",(SUM(M16)-N16))</f>
        <v>-1747.943556220436</v>
      </c>
      <c r="P16" s="96">
        <f t="shared" ref="P16:P22" si="5">IF(L16="","",(L16*O16))</f>
        <v>-41950645.34929046</v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 t="s">
        <v>79</v>
      </c>
      <c r="L17" s="16">
        <v>12000</v>
      </c>
      <c r="M17" s="16"/>
      <c r="N17" s="97">
        <f t="shared" si="3"/>
        <v>1747.943556220436</v>
      </c>
      <c r="O17" s="98">
        <f t="shared" si="4"/>
        <v>-1747.943556220436</v>
      </c>
      <c r="P17" s="99">
        <f t="shared" si="5"/>
        <v>-20975322.67464523</v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10" t="s">
        <v>73</v>
      </c>
      <c r="L18" s="16">
        <v>16000</v>
      </c>
      <c r="M18" s="16"/>
      <c r="N18" s="97">
        <f t="shared" si="3"/>
        <v>1747.943556220436</v>
      </c>
      <c r="O18" s="98">
        <f t="shared" si="4"/>
        <v>-1747.943556220436</v>
      </c>
      <c r="P18" s="99">
        <f t="shared" si="5"/>
        <v>-27967096.899526976</v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110"/>
      <c r="L19" s="16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4000</v>
      </c>
      <c r="E23" s="75"/>
      <c r="F23" s="75"/>
      <c r="G23" s="75"/>
      <c r="H23" s="76">
        <f>SUM(H16:H22)</f>
        <v>-5389688.6033182042</v>
      </c>
      <c r="I23" s="106"/>
      <c r="J23" s="89" t="s">
        <v>24</v>
      </c>
      <c r="K23" s="90"/>
      <c r="L23" s="91">
        <f>SUM(L16:L22)</f>
        <v>52000</v>
      </c>
      <c r="M23" s="92"/>
      <c r="N23" s="92"/>
      <c r="O23" s="92"/>
      <c r="P23" s="93">
        <f>SUM(P16:P22)</f>
        <v>-90893064.923462659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68225</v>
      </c>
      <c r="D29" s="177"/>
      <c r="E29" s="178">
        <f>$G$9</f>
        <v>1347.4221508295511</v>
      </c>
      <c r="F29" s="178"/>
      <c r="G29" s="177">
        <f>C29*E29</f>
        <v>91927876.240346119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367167</v>
      </c>
      <c r="D30" s="174"/>
      <c r="E30" s="185">
        <f>$G$10</f>
        <v>1747.943556220436</v>
      </c>
      <c r="F30" s="185"/>
      <c r="G30" s="174">
        <f>C30*E30</f>
        <v>641787191.70678878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68225</v>
      </c>
      <c r="D36" s="177"/>
      <c r="E36" s="177">
        <f>$G$29+$O$29</f>
        <v>91927876.240346119</v>
      </c>
      <c r="F36" s="177"/>
      <c r="G36" s="178">
        <f>E36/C36</f>
        <v>1347.4221508295511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367167</v>
      </c>
      <c r="D37" s="174"/>
      <c r="E37" s="174">
        <f>$G$30+$O$30</f>
        <v>641787191.70678878</v>
      </c>
      <c r="F37" s="174"/>
      <c r="G37" s="185">
        <f>E37/C37</f>
        <v>1747.9435562204358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72225</v>
      </c>
      <c r="D43" s="228"/>
      <c r="E43" s="62"/>
      <c r="F43" s="229">
        <f>$K$29</f>
        <v>0</v>
      </c>
      <c r="G43" s="230"/>
      <c r="H43" s="230">
        <f>$D$23</f>
        <v>4000</v>
      </c>
      <c r="I43" s="230"/>
      <c r="J43" s="230"/>
      <c r="K43" s="231">
        <f>$C$43-$H$43+$F$43+$O$43</f>
        <v>68225</v>
      </c>
      <c r="L43" s="231"/>
      <c r="M43" s="63">
        <f>SUM($K$43)/$D$9</f>
        <v>0.34112500000000001</v>
      </c>
      <c r="N43" s="64">
        <f>$G$36</f>
        <v>1347.4221508295511</v>
      </c>
      <c r="O43" s="103"/>
      <c r="P43" s="23"/>
      <c r="Q43" s="125">
        <v>46119</v>
      </c>
      <c r="R43" s="2" t="s">
        <v>61</v>
      </c>
      <c r="S43" s="2">
        <v>32000</v>
      </c>
      <c r="T43" s="2" t="s">
        <v>76</v>
      </c>
    </row>
    <row r="44" spans="2:25" ht="24.75" customHeight="1">
      <c r="B44" s="65" t="s">
        <v>41</v>
      </c>
      <c r="C44" s="232">
        <f>SUM($E$10)</f>
        <v>419167</v>
      </c>
      <c r="D44" s="233"/>
      <c r="E44" s="66"/>
      <c r="F44" s="234">
        <f>$K$30</f>
        <v>0</v>
      </c>
      <c r="G44" s="235"/>
      <c r="H44" s="235">
        <f>$L$23</f>
        <v>52000</v>
      </c>
      <c r="I44" s="235"/>
      <c r="J44" s="235"/>
      <c r="K44" s="236">
        <f>$C$44-$H$44+$F$44+$O$44</f>
        <v>367167</v>
      </c>
      <c r="L44" s="236"/>
      <c r="M44" s="67">
        <f>SUM($K$44)/D10</f>
        <v>0.73433400000000004</v>
      </c>
      <c r="N44" s="68">
        <f>$G$37</f>
        <v>1747.9435562204358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rgb="FFFFFF00"/>
    <pageSetUpPr fitToPage="1"/>
  </sheetPr>
  <dimension ref="B1:Y124"/>
  <sheetViews>
    <sheetView showGridLines="0" topLeftCell="A24" zoomScaleNormal="100" workbookViewId="0">
      <selection activeCell="M30" sqref="M30:N30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SUM('0413'!$K$43:$L$43)</f>
        <v>68225</v>
      </c>
      <c r="F9" s="42">
        <f>SUM(E9)/D9</f>
        <v>0.34112500000000001</v>
      </c>
      <c r="G9" s="10">
        <f>SUM('0413'!$N$43)</f>
        <v>1347.4221508295511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SUM('0413'!$K$44:$L$44)</f>
        <v>367167</v>
      </c>
      <c r="F10" s="44">
        <f>SUM(E10)/D10</f>
        <v>0.73433400000000004</v>
      </c>
      <c r="G10" s="13">
        <f>SUM('0413'!$N$44)</f>
        <v>1747.9435562204358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36"/>
      <c r="L16" s="37"/>
      <c r="M16" s="37"/>
      <c r="N16" s="94" t="str">
        <f t="shared" ref="N16:N22" si="3">IF(L16="","",($G$10))</f>
        <v/>
      </c>
      <c r="O16" s="95" t="str">
        <f t="shared" ref="O16:O22" si="4">IF(L16="","",(SUM(M16)-N16))</f>
        <v/>
      </c>
      <c r="P16" s="96" t="str">
        <f t="shared" ref="P16:P22" si="5">IF(L16="","",(L16*O16))</f>
        <v/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10"/>
      <c r="L18" s="16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110"/>
      <c r="L19" s="16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0</v>
      </c>
      <c r="M23" s="92"/>
      <c r="N23" s="92"/>
      <c r="O23" s="92"/>
      <c r="P23" s="93">
        <f>SUM(P16:P22)</f>
        <v>0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68225</v>
      </c>
      <c r="D29" s="177"/>
      <c r="E29" s="178">
        <f>$G$9</f>
        <v>1347.4221508295511</v>
      </c>
      <c r="F29" s="178"/>
      <c r="G29" s="177">
        <f>C29*E29</f>
        <v>91927876.240346119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367167</v>
      </c>
      <c r="D30" s="174"/>
      <c r="E30" s="185">
        <f>$G$10</f>
        <v>1747.9435562204358</v>
      </c>
      <c r="F30" s="185"/>
      <c r="G30" s="174">
        <f>C30*E30</f>
        <v>641787191.70678878</v>
      </c>
      <c r="H30" s="175"/>
      <c r="I30" s="17"/>
      <c r="J30" s="50" t="s">
        <v>11</v>
      </c>
      <c r="K30" s="186">
        <v>32000</v>
      </c>
      <c r="L30" s="187"/>
      <c r="M30" s="237">
        <v>1889.0135177380901</v>
      </c>
      <c r="N30" s="238"/>
      <c r="O30" s="174">
        <f>K30*M30</f>
        <v>60448432.567618884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68225</v>
      </c>
      <c r="D36" s="177"/>
      <c r="E36" s="177">
        <f>$G$29+$O$29</f>
        <v>91927876.240346119</v>
      </c>
      <c r="F36" s="177"/>
      <c r="G36" s="178">
        <f>E36/C36</f>
        <v>1347.4221508295511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399167</v>
      </c>
      <c r="D37" s="174"/>
      <c r="E37" s="174">
        <f>$G$30+$O$30</f>
        <v>702235624.27440763</v>
      </c>
      <c r="F37" s="174"/>
      <c r="G37" s="185">
        <f>E37/C37</f>
        <v>1759.2527044430217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68225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68225</v>
      </c>
      <c r="L43" s="231"/>
      <c r="M43" s="63">
        <f>SUM($K$43)/$D$9</f>
        <v>0.34112500000000001</v>
      </c>
      <c r="N43" s="64">
        <f>$G$36</f>
        <v>1347.4221508295511</v>
      </c>
      <c r="O43" s="103"/>
      <c r="P43" s="23"/>
      <c r="Q43" s="125">
        <v>46119</v>
      </c>
      <c r="R43" s="2" t="s">
        <v>61</v>
      </c>
      <c r="S43" s="2">
        <v>32000</v>
      </c>
      <c r="T43" s="2" t="s">
        <v>76</v>
      </c>
    </row>
    <row r="44" spans="2:25" ht="24.75" customHeight="1">
      <c r="B44" s="65" t="s">
        <v>41</v>
      </c>
      <c r="C44" s="232">
        <f>SUM($E$10)</f>
        <v>367167</v>
      </c>
      <c r="D44" s="233"/>
      <c r="E44" s="66"/>
      <c r="F44" s="234">
        <f>$K$30</f>
        <v>32000</v>
      </c>
      <c r="G44" s="235"/>
      <c r="H44" s="235">
        <f>$L$23</f>
        <v>0</v>
      </c>
      <c r="I44" s="235"/>
      <c r="J44" s="235"/>
      <c r="K44" s="236">
        <f>$C$44-$H$44+$F$44+$O$44</f>
        <v>399167</v>
      </c>
      <c r="L44" s="236"/>
      <c r="M44" s="67">
        <f>SUM($K$44)/D10</f>
        <v>0.79833399999999999</v>
      </c>
      <c r="N44" s="68">
        <f>$G$37</f>
        <v>1759.2527044430217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pageSetUpPr fitToPage="1"/>
  </sheetPr>
  <dimension ref="B1:Y124"/>
  <sheetViews>
    <sheetView showGridLines="0" topLeftCell="A31" zoomScaleNormal="100" workbookViewId="0">
      <selection activeCell="S47" sqref="S47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SUM('0414 (입고)'!$K$43:$L$43)</f>
        <v>68225</v>
      </c>
      <c r="F9" s="42">
        <f>SUM(E9)/D9</f>
        <v>0.34112500000000001</v>
      </c>
      <c r="G9" s="10">
        <f>SUM('0414 (입고)'!$N$43)</f>
        <v>1347.4221508295511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SUM('0414 (입고)'!$K$44:$L$44)</f>
        <v>399167</v>
      </c>
      <c r="F10" s="44">
        <f>SUM(E10)/D10</f>
        <v>0.79833399999999999</v>
      </c>
      <c r="G10" s="13">
        <f>SUM('0414 (입고)'!$N$44)</f>
        <v>1759.2527044430217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36" t="s">
        <v>60</v>
      </c>
      <c r="L16" s="37">
        <v>32000</v>
      </c>
      <c r="M16" s="37"/>
      <c r="N16" s="94">
        <f t="shared" ref="N16:N22" si="3">IF(L16="","",($G$10))</f>
        <v>1759.2527044430217</v>
      </c>
      <c r="O16" s="95">
        <f t="shared" ref="O16:O22" si="4">IF(L16="","",(SUM(M16)-N16))</f>
        <v>-1759.2527044430217</v>
      </c>
      <c r="P16" s="96">
        <f t="shared" ref="P16:P22" si="5">IF(L16="","",(L16*O16))</f>
        <v>-56296086.542176694</v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10"/>
      <c r="L18" s="16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110"/>
      <c r="L19" s="16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32000</v>
      </c>
      <c r="M23" s="92"/>
      <c r="N23" s="92"/>
      <c r="O23" s="92"/>
      <c r="P23" s="93">
        <f>SUM(P16:P22)</f>
        <v>-56296086.542176694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68225</v>
      </c>
      <c r="D29" s="177"/>
      <c r="E29" s="178">
        <f>$G$9</f>
        <v>1347.4221508295511</v>
      </c>
      <c r="F29" s="178"/>
      <c r="G29" s="177">
        <f>C29*E29</f>
        <v>91927876.240346119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367167</v>
      </c>
      <c r="D30" s="174"/>
      <c r="E30" s="185">
        <f>$G$10</f>
        <v>1759.2527044430217</v>
      </c>
      <c r="F30" s="185"/>
      <c r="G30" s="174">
        <f>C30*E30</f>
        <v>645939537.7322309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68225</v>
      </c>
      <c r="D36" s="177"/>
      <c r="E36" s="177">
        <f>$G$29+$O$29</f>
        <v>91927876.240346119</v>
      </c>
      <c r="F36" s="177"/>
      <c r="G36" s="178">
        <f>E36/C36</f>
        <v>1347.4221508295511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367167</v>
      </c>
      <c r="D37" s="174"/>
      <c r="E37" s="174">
        <f>$G$30+$O$30</f>
        <v>645939537.7322309</v>
      </c>
      <c r="F37" s="174"/>
      <c r="G37" s="185">
        <f>E37/C37</f>
        <v>1759.2527044430217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68225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68225</v>
      </c>
      <c r="L43" s="231"/>
      <c r="M43" s="63">
        <f>SUM($K$43)/$D$9</f>
        <v>0.34112500000000001</v>
      </c>
      <c r="N43" s="64">
        <f>$G$36</f>
        <v>1347.4221508295511</v>
      </c>
      <c r="O43" s="103"/>
      <c r="P43" s="23"/>
      <c r="Q43" s="125">
        <v>46119</v>
      </c>
      <c r="R43" s="2" t="s">
        <v>61</v>
      </c>
      <c r="S43" s="2">
        <v>32000</v>
      </c>
      <c r="T43" s="2" t="s">
        <v>76</v>
      </c>
    </row>
    <row r="44" spans="2:25" ht="24.75" customHeight="1">
      <c r="B44" s="65" t="s">
        <v>41</v>
      </c>
      <c r="C44" s="232">
        <f>SUM($E$10)</f>
        <v>399167</v>
      </c>
      <c r="D44" s="233"/>
      <c r="E44" s="66"/>
      <c r="F44" s="234">
        <f>$K$30</f>
        <v>0</v>
      </c>
      <c r="G44" s="235"/>
      <c r="H44" s="235">
        <f>$L$23</f>
        <v>32000</v>
      </c>
      <c r="I44" s="235"/>
      <c r="J44" s="235"/>
      <c r="K44" s="236">
        <f>$C$44-$H$44+$F$44+$O$44</f>
        <v>367167</v>
      </c>
      <c r="L44" s="236"/>
      <c r="M44" s="67">
        <f>SUM($K$44)/D10</f>
        <v>0.73433400000000004</v>
      </c>
      <c r="N44" s="68">
        <f>$G$37</f>
        <v>1759.2527044430217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rgb="FFFFFF00"/>
    <pageSetUpPr fitToPage="1"/>
  </sheetPr>
  <dimension ref="B1:Y124"/>
  <sheetViews>
    <sheetView showGridLines="0" topLeftCell="A16" zoomScaleNormal="100" workbookViewId="0">
      <selection activeCell="M30" sqref="M30:N30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SUM('0414'!$K$43:$L$43)</f>
        <v>68225</v>
      </c>
      <c r="F9" s="42">
        <f>SUM(E9)/D9</f>
        <v>0.34112500000000001</v>
      </c>
      <c r="G9" s="10">
        <f>SUM('0414'!$N$43)</f>
        <v>1347.4221508295511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SUM('0414'!$K$44:$L$44)</f>
        <v>367167</v>
      </c>
      <c r="F10" s="44">
        <f>SUM(E10)/D10</f>
        <v>0.73433400000000004</v>
      </c>
      <c r="G10" s="13">
        <f>SUM('0414'!$N$44)</f>
        <v>1759.2527044430217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36"/>
      <c r="L16" s="37"/>
      <c r="M16" s="37"/>
      <c r="N16" s="94" t="str">
        <f t="shared" ref="N16:N22" si="3">IF(L16="","",($G$10))</f>
        <v/>
      </c>
      <c r="O16" s="95" t="str">
        <f t="shared" ref="O16:O22" si="4">IF(L16="","",(SUM(M16)-N16))</f>
        <v/>
      </c>
      <c r="P16" s="96" t="str">
        <f t="shared" ref="P16:P22" si="5">IF(L16="","",(L16*O16))</f>
        <v/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10"/>
      <c r="L18" s="16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110"/>
      <c r="L19" s="16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0</v>
      </c>
      <c r="M23" s="92"/>
      <c r="N23" s="92"/>
      <c r="O23" s="92"/>
      <c r="P23" s="93">
        <f>SUM(P16:P22)</f>
        <v>0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68225</v>
      </c>
      <c r="D29" s="177"/>
      <c r="E29" s="178">
        <f>$G$9</f>
        <v>1347.4221508295511</v>
      </c>
      <c r="F29" s="178"/>
      <c r="G29" s="177">
        <f>C29*E29</f>
        <v>91927876.240346119</v>
      </c>
      <c r="H29" s="179"/>
      <c r="I29" s="17"/>
      <c r="J29" s="49" t="s">
        <v>9</v>
      </c>
      <c r="K29" s="180">
        <v>32000</v>
      </c>
      <c r="L29" s="181"/>
      <c r="M29" s="182">
        <v>1496.0135177380901</v>
      </c>
      <c r="N29" s="183"/>
      <c r="O29" s="177">
        <f>K29*M29</f>
        <v>47872432.567618884</v>
      </c>
      <c r="P29" s="179"/>
      <c r="R29" s="18"/>
    </row>
    <row r="30" spans="2:18" ht="22.5" customHeight="1">
      <c r="B30" s="50" t="s">
        <v>11</v>
      </c>
      <c r="C30" s="184">
        <f>$E$10-$L$23</f>
        <v>367167</v>
      </c>
      <c r="D30" s="174"/>
      <c r="E30" s="185">
        <f>$G$10</f>
        <v>1759.2527044430217</v>
      </c>
      <c r="F30" s="185"/>
      <c r="G30" s="174">
        <f>C30*E30</f>
        <v>645939537.7322309</v>
      </c>
      <c r="H30" s="175"/>
      <c r="I30" s="17"/>
      <c r="J30" s="50" t="s">
        <v>11</v>
      </c>
      <c r="K30" s="186">
        <v>64000</v>
      </c>
      <c r="L30" s="187"/>
      <c r="M30" s="237">
        <v>1889.0135177380901</v>
      </c>
      <c r="N30" s="238"/>
      <c r="O30" s="174">
        <f>K30*M30</f>
        <v>120896865.13523777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100225</v>
      </c>
      <c r="D36" s="177"/>
      <c r="E36" s="177">
        <f>$G$29+$O$29</f>
        <v>139800308.80796501</v>
      </c>
      <c r="F36" s="177"/>
      <c r="G36" s="178">
        <f>E36/C36</f>
        <v>1394.8646426337243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431167</v>
      </c>
      <c r="D37" s="174"/>
      <c r="E37" s="174">
        <f>$G$30+$O$30</f>
        <v>766836402.86746871</v>
      </c>
      <c r="F37" s="174"/>
      <c r="G37" s="185">
        <f>E37/C37</f>
        <v>1778.5136684103113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68225</v>
      </c>
      <c r="D43" s="228"/>
      <c r="E43" s="62"/>
      <c r="F43" s="229">
        <f>$K$29</f>
        <v>32000</v>
      </c>
      <c r="G43" s="230"/>
      <c r="H43" s="230">
        <f>$D$23</f>
        <v>0</v>
      </c>
      <c r="I43" s="230"/>
      <c r="J43" s="230"/>
      <c r="K43" s="231">
        <f>$C$43-$H$43+$F$43+$O$43</f>
        <v>100225</v>
      </c>
      <c r="L43" s="231"/>
      <c r="M43" s="63">
        <f>SUM($K$43)/$D$9</f>
        <v>0.50112500000000004</v>
      </c>
      <c r="N43" s="64">
        <f>$G$36</f>
        <v>1394.8646426337243</v>
      </c>
      <c r="O43" s="103"/>
      <c r="P43" s="23"/>
      <c r="Q43" s="125">
        <v>46119</v>
      </c>
      <c r="R43" s="2" t="s">
        <v>61</v>
      </c>
      <c r="S43" s="2">
        <v>32000</v>
      </c>
      <c r="T43" s="2" t="s">
        <v>76</v>
      </c>
    </row>
    <row r="44" spans="2:25" ht="24.75" customHeight="1">
      <c r="B44" s="65" t="s">
        <v>41</v>
      </c>
      <c r="C44" s="232">
        <f>SUM($E$10)</f>
        <v>367167</v>
      </c>
      <c r="D44" s="233"/>
      <c r="E44" s="66"/>
      <c r="F44" s="234">
        <f>$K$30</f>
        <v>64000</v>
      </c>
      <c r="G44" s="235"/>
      <c r="H44" s="235">
        <f>$L$23</f>
        <v>0</v>
      </c>
      <c r="I44" s="235"/>
      <c r="J44" s="235"/>
      <c r="K44" s="236">
        <f>$C$44-$H$44+$F$44+$O$44</f>
        <v>431167</v>
      </c>
      <c r="L44" s="236"/>
      <c r="M44" s="67">
        <f>SUM($K$44)/D10</f>
        <v>0.86233400000000004</v>
      </c>
      <c r="N44" s="68">
        <f>$G$37</f>
        <v>1778.5136684103113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5:C46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pageSetUpPr fitToPage="1"/>
  </sheetPr>
  <dimension ref="B1:Y124"/>
  <sheetViews>
    <sheetView showGridLines="0" topLeftCell="A34" zoomScaleNormal="100" workbookViewId="0">
      <selection activeCell="S33" sqref="S33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SUM('0417 (입고)'!$K$43:$L$43)</f>
        <v>100225</v>
      </c>
      <c r="F9" s="42">
        <f>SUM(E9)/D9</f>
        <v>0.50112500000000004</v>
      </c>
      <c r="G9" s="10">
        <f>SUM('0417 (입고)'!$N$43)</f>
        <v>1394.8646426337243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SUM('0417 (입고)'!$K$44:$L$44)</f>
        <v>431167</v>
      </c>
      <c r="F10" s="44">
        <f>SUM(E10)/D10</f>
        <v>0.86233400000000004</v>
      </c>
      <c r="G10" s="13">
        <f>SUM('0417 (입고)'!$N$44)</f>
        <v>1778.5136684103113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 t="s">
        <v>74</v>
      </c>
      <c r="D16" s="37">
        <v>16000</v>
      </c>
      <c r="E16" s="37"/>
      <c r="F16" s="77">
        <f t="shared" ref="F16:F22" si="0">IF(D16="","",(SUM($G$9)))</f>
        <v>1394.8646426337243</v>
      </c>
      <c r="G16" s="78">
        <f t="shared" ref="G16:G22" si="1">IF(D16="","",(SUM(E16)-F16))</f>
        <v>-1394.8646426337243</v>
      </c>
      <c r="H16" s="79">
        <f t="shared" ref="H16:H22" si="2">IF(D16="","",(D16*G16))</f>
        <v>-22317834.282139588</v>
      </c>
      <c r="I16" s="17"/>
      <c r="J16" s="159" t="s">
        <v>22</v>
      </c>
      <c r="K16" s="36" t="s">
        <v>66</v>
      </c>
      <c r="L16" s="37">
        <v>24000</v>
      </c>
      <c r="M16" s="37"/>
      <c r="N16" s="94">
        <f t="shared" ref="N16:N22" si="3">IF(L16="","",($G$10))</f>
        <v>1778.5136684103113</v>
      </c>
      <c r="O16" s="95">
        <f t="shared" ref="O16:O22" si="4">IF(L16="","",(SUM(M16)-N16))</f>
        <v>-1778.5136684103113</v>
      </c>
      <c r="P16" s="96">
        <f t="shared" ref="P16:P22" si="5">IF(L16="","",(L16*O16))</f>
        <v>-42684328.041847475</v>
      </c>
    </row>
    <row r="17" spans="2:18" ht="24" customHeight="1">
      <c r="B17" s="158"/>
      <c r="C17" s="110" t="s">
        <v>80</v>
      </c>
      <c r="D17" s="16">
        <v>16000</v>
      </c>
      <c r="E17" s="16"/>
      <c r="F17" s="80">
        <f t="shared" si="0"/>
        <v>1394.8646426337243</v>
      </c>
      <c r="G17" s="81">
        <f t="shared" si="1"/>
        <v>-1394.8646426337243</v>
      </c>
      <c r="H17" s="82">
        <f t="shared" si="2"/>
        <v>-22317834.282139588</v>
      </c>
      <c r="I17" s="17"/>
      <c r="J17" s="159"/>
      <c r="K17" s="110" t="s">
        <v>81</v>
      </c>
      <c r="L17" s="16">
        <v>20000</v>
      </c>
      <c r="M17" s="16"/>
      <c r="N17" s="97">
        <f t="shared" si="3"/>
        <v>1778.5136684103113</v>
      </c>
      <c r="O17" s="98">
        <f t="shared" si="4"/>
        <v>-1778.5136684103113</v>
      </c>
      <c r="P17" s="99">
        <f t="shared" si="5"/>
        <v>-35570273.368206225</v>
      </c>
    </row>
    <row r="18" spans="2:18" ht="24" customHeight="1">
      <c r="B18" s="158"/>
      <c r="C18" s="110" t="s">
        <v>61</v>
      </c>
      <c r="D18" s="16">
        <v>2000</v>
      </c>
      <c r="E18" s="16"/>
      <c r="F18" s="80">
        <f t="shared" si="0"/>
        <v>1394.8646426337243</v>
      </c>
      <c r="G18" s="81">
        <f t="shared" si="1"/>
        <v>-1394.8646426337243</v>
      </c>
      <c r="H18" s="82">
        <f t="shared" si="2"/>
        <v>-2789729.2852674485</v>
      </c>
      <c r="I18" s="17"/>
      <c r="J18" s="159"/>
      <c r="K18" s="110" t="s">
        <v>51</v>
      </c>
      <c r="L18" s="16">
        <v>8000</v>
      </c>
      <c r="M18" s="16"/>
      <c r="N18" s="97">
        <f t="shared" si="3"/>
        <v>1778.5136684103113</v>
      </c>
      <c r="O18" s="98">
        <f t="shared" si="4"/>
        <v>-1778.5136684103113</v>
      </c>
      <c r="P18" s="99">
        <f t="shared" si="5"/>
        <v>-14228109.34728249</v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110" t="s">
        <v>61</v>
      </c>
      <c r="L19" s="16">
        <v>32000</v>
      </c>
      <c r="M19" s="16"/>
      <c r="N19" s="97">
        <f t="shared" si="3"/>
        <v>1778.5136684103113</v>
      </c>
      <c r="O19" s="98">
        <f t="shared" si="4"/>
        <v>-1778.5136684103113</v>
      </c>
      <c r="P19" s="99">
        <f t="shared" si="5"/>
        <v>-56912437.389129959</v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 t="s">
        <v>68</v>
      </c>
      <c r="L20" s="16">
        <v>32000</v>
      </c>
      <c r="M20" s="16"/>
      <c r="N20" s="97">
        <f t="shared" si="3"/>
        <v>1778.5136684103113</v>
      </c>
      <c r="O20" s="98">
        <f t="shared" si="4"/>
        <v>-1778.5136684103113</v>
      </c>
      <c r="P20" s="99">
        <f t="shared" si="5"/>
        <v>-56912437.389129959</v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 t="s">
        <v>82</v>
      </c>
      <c r="L21" s="16">
        <v>30000</v>
      </c>
      <c r="M21" s="16"/>
      <c r="N21" s="97">
        <f t="shared" si="3"/>
        <v>1778.5136684103113</v>
      </c>
      <c r="O21" s="98">
        <f t="shared" si="4"/>
        <v>-1778.5136684103113</v>
      </c>
      <c r="P21" s="99">
        <f t="shared" si="5"/>
        <v>-53355410.052309342</v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 t="s">
        <v>60</v>
      </c>
      <c r="L22" s="46">
        <v>32000</v>
      </c>
      <c r="M22" s="46"/>
      <c r="N22" s="100">
        <f t="shared" si="3"/>
        <v>1778.5136684103113</v>
      </c>
      <c r="O22" s="101">
        <f t="shared" si="4"/>
        <v>-1778.5136684103113</v>
      </c>
      <c r="P22" s="102">
        <f t="shared" si="5"/>
        <v>-56912437.389129959</v>
      </c>
    </row>
    <row r="23" spans="2:18" ht="24" customHeight="1">
      <c r="B23" s="72" t="s">
        <v>24</v>
      </c>
      <c r="C23" s="73"/>
      <c r="D23" s="74">
        <f>SUM(D16:D22)</f>
        <v>34000</v>
      </c>
      <c r="E23" s="75"/>
      <c r="F23" s="75"/>
      <c r="G23" s="75"/>
      <c r="H23" s="76">
        <f>SUM(H16:H22)</f>
        <v>-47425397.849546626</v>
      </c>
      <c r="I23" s="106"/>
      <c r="J23" s="89" t="s">
        <v>24</v>
      </c>
      <c r="K23" s="90"/>
      <c r="L23" s="91">
        <f>SUM(L16:L22)</f>
        <v>178000</v>
      </c>
      <c r="M23" s="92"/>
      <c r="N23" s="92"/>
      <c r="O23" s="92"/>
      <c r="P23" s="93">
        <f>SUM(P16:P22)</f>
        <v>-316575432.9770354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66225</v>
      </c>
      <c r="D29" s="177"/>
      <c r="E29" s="178">
        <f>$G$9</f>
        <v>1394.8646426337243</v>
      </c>
      <c r="F29" s="178"/>
      <c r="G29" s="177">
        <f>C29*E29</f>
        <v>92374910.958418399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253167</v>
      </c>
      <c r="D30" s="174"/>
      <c r="E30" s="185">
        <f>$G$10</f>
        <v>1778.5136684103113</v>
      </c>
      <c r="F30" s="185"/>
      <c r="G30" s="174">
        <f>C30*E30</f>
        <v>450260969.89043331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66225</v>
      </c>
      <c r="D36" s="177"/>
      <c r="E36" s="177">
        <f>$G$29+$O$29</f>
        <v>92374910.958418399</v>
      </c>
      <c r="F36" s="177"/>
      <c r="G36" s="178">
        <f>E36/C36</f>
        <v>1394.8646426337243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253167</v>
      </c>
      <c r="D37" s="174"/>
      <c r="E37" s="174">
        <f>$G$30+$O$30</f>
        <v>450260969.89043331</v>
      </c>
      <c r="F37" s="174"/>
      <c r="G37" s="185">
        <f>E37/C37</f>
        <v>1778.5136684103113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100225</v>
      </c>
      <c r="D43" s="228"/>
      <c r="E43" s="62"/>
      <c r="F43" s="229">
        <f>$K$29</f>
        <v>0</v>
      </c>
      <c r="G43" s="230"/>
      <c r="H43" s="230">
        <f>$D$23</f>
        <v>34000</v>
      </c>
      <c r="I43" s="230"/>
      <c r="J43" s="230"/>
      <c r="K43" s="231">
        <f>$C$43-$H$43+$F$43+$O$43</f>
        <v>66225</v>
      </c>
      <c r="L43" s="231"/>
      <c r="M43" s="63">
        <f>SUM($K$43)/$D$9</f>
        <v>0.331125</v>
      </c>
      <c r="N43" s="64">
        <f>$G$36</f>
        <v>1394.8646426337243</v>
      </c>
      <c r="O43" s="103"/>
      <c r="P43" s="23"/>
      <c r="Q43" s="125">
        <v>46119</v>
      </c>
      <c r="R43" s="2" t="s">
        <v>61</v>
      </c>
      <c r="S43" s="2">
        <v>32000</v>
      </c>
      <c r="T43" s="2" t="s">
        <v>76</v>
      </c>
    </row>
    <row r="44" spans="2:25" ht="24.75" customHeight="1">
      <c r="B44" s="65" t="s">
        <v>41</v>
      </c>
      <c r="C44" s="232">
        <f>SUM($E$10)</f>
        <v>431167</v>
      </c>
      <c r="D44" s="233"/>
      <c r="E44" s="66"/>
      <c r="F44" s="234">
        <f>$K$30</f>
        <v>0</v>
      </c>
      <c r="G44" s="235"/>
      <c r="H44" s="235">
        <f>$L$23</f>
        <v>178000</v>
      </c>
      <c r="I44" s="235"/>
      <c r="J44" s="235"/>
      <c r="K44" s="236">
        <f>$C$44-$H$44+$F$44+$O$44</f>
        <v>253167</v>
      </c>
      <c r="L44" s="236"/>
      <c r="M44" s="67">
        <f>SUM($K$44)/D10</f>
        <v>0.50633399999999995</v>
      </c>
      <c r="N44" s="68">
        <f>$G$37</f>
        <v>1778.5136684103113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5:C46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rgb="FFFFFF00"/>
    <pageSetUpPr fitToPage="1"/>
  </sheetPr>
  <dimension ref="B1:Y124"/>
  <sheetViews>
    <sheetView showGridLines="0" topLeftCell="A21" zoomScaleNormal="100" workbookViewId="0">
      <selection activeCell="M31" sqref="M31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SUM('0417'!$K$43:$L$43)</f>
        <v>66225</v>
      </c>
      <c r="F9" s="42">
        <f>SUM(E9)/D9</f>
        <v>0.331125</v>
      </c>
      <c r="G9" s="10">
        <f>SUM('0417'!$N$43)</f>
        <v>1394.8646426337243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SUM('0417'!$K$44:$L$44)</f>
        <v>253167</v>
      </c>
      <c r="F10" s="44">
        <f>SUM(E10)/D10</f>
        <v>0.50633399999999995</v>
      </c>
      <c r="G10" s="13">
        <f>SUM('0417'!$N$44)</f>
        <v>1778.5136684103113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36"/>
      <c r="L16" s="37"/>
      <c r="M16" s="37"/>
      <c r="N16" s="94" t="str">
        <f t="shared" ref="N16:N22" si="3">IF(L16="","",($G$10))</f>
        <v/>
      </c>
      <c r="O16" s="95" t="str">
        <f t="shared" ref="O16:O22" si="4">IF(L16="","",(SUM(M16)-N16))</f>
        <v/>
      </c>
      <c r="P16" s="96" t="str">
        <f t="shared" ref="P16:P22" si="5">IF(L16="","",(L16*O16))</f>
        <v/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10"/>
      <c r="L18" s="16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110"/>
      <c r="L19" s="16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0</v>
      </c>
      <c r="M23" s="92"/>
      <c r="N23" s="92"/>
      <c r="O23" s="92"/>
      <c r="P23" s="93">
        <f>SUM(P16:P22)</f>
        <v>0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66225</v>
      </c>
      <c r="D29" s="177"/>
      <c r="E29" s="178">
        <f>$G$9</f>
        <v>1394.8646426337243</v>
      </c>
      <c r="F29" s="178"/>
      <c r="G29" s="177">
        <f>C29*E29</f>
        <v>92374910.958418399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253167</v>
      </c>
      <c r="D30" s="174"/>
      <c r="E30" s="185">
        <f>$G$10</f>
        <v>1778.5136684103113</v>
      </c>
      <c r="F30" s="185"/>
      <c r="G30" s="174">
        <f>C30*E30</f>
        <v>450260969.89043331</v>
      </c>
      <c r="H30" s="175"/>
      <c r="I30" s="17"/>
      <c r="J30" s="50" t="s">
        <v>11</v>
      </c>
      <c r="K30" s="186">
        <v>30000</v>
      </c>
      <c r="L30" s="187"/>
      <c r="M30" s="188">
        <v>1923</v>
      </c>
      <c r="N30" s="189"/>
      <c r="O30" s="174">
        <f>K30*M30</f>
        <v>57690000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66225</v>
      </c>
      <c r="D36" s="177"/>
      <c r="E36" s="177">
        <f>$G$29+$O$29</f>
        <v>92374910.958418399</v>
      </c>
      <c r="F36" s="177"/>
      <c r="G36" s="178">
        <f>E36/C36</f>
        <v>1394.8646426337243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283167</v>
      </c>
      <c r="D37" s="174"/>
      <c r="E37" s="174">
        <f>$G$30+$O$30</f>
        <v>507950969.89043331</v>
      </c>
      <c r="F37" s="174"/>
      <c r="G37" s="185">
        <f>E37/C37</f>
        <v>1793.8212075928102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66225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66225</v>
      </c>
      <c r="L43" s="231"/>
      <c r="M43" s="63">
        <f>SUM($K$43)/$D$9</f>
        <v>0.331125</v>
      </c>
      <c r="N43" s="64">
        <f>$G$36</f>
        <v>1394.8646426337243</v>
      </c>
      <c r="O43" s="103"/>
      <c r="P43" s="23"/>
      <c r="Q43" s="125">
        <v>46119</v>
      </c>
      <c r="R43" s="2" t="s">
        <v>61</v>
      </c>
      <c r="S43" s="2">
        <v>32000</v>
      </c>
      <c r="T43" s="2" t="s">
        <v>76</v>
      </c>
    </row>
    <row r="44" spans="2:25" ht="24.75" customHeight="1">
      <c r="B44" s="65" t="s">
        <v>41</v>
      </c>
      <c r="C44" s="232">
        <f>SUM($E$10)</f>
        <v>253167</v>
      </c>
      <c r="D44" s="233"/>
      <c r="E44" s="66"/>
      <c r="F44" s="234">
        <f>$K$30</f>
        <v>30000</v>
      </c>
      <c r="G44" s="235"/>
      <c r="H44" s="235">
        <f>$L$23</f>
        <v>0</v>
      </c>
      <c r="I44" s="235"/>
      <c r="J44" s="235"/>
      <c r="K44" s="236">
        <f>$C$44-$H$44+$F$44+$O$44</f>
        <v>283167</v>
      </c>
      <c r="L44" s="236"/>
      <c r="M44" s="67">
        <f>SUM($K$44)/D10</f>
        <v>0.566334</v>
      </c>
      <c r="N44" s="68">
        <f>$G$37</f>
        <v>1793.8212075928102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pageSetUpPr fitToPage="1"/>
  </sheetPr>
  <dimension ref="B1:Y124"/>
  <sheetViews>
    <sheetView showGridLines="0" topLeftCell="A27" zoomScaleNormal="100" workbookViewId="0">
      <selection activeCell="R45" sqref="R45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SUM('0419 (입고)'!$K$43:$L$43)</f>
        <v>66225</v>
      </c>
      <c r="F9" s="42">
        <f>SUM(E9)/D9</f>
        <v>0.331125</v>
      </c>
      <c r="G9" s="10">
        <f>SUM('0419 (입고)'!$N$43)</f>
        <v>1394.8646426337243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SUM('0419 (입고)'!$K$44:$L$44)</f>
        <v>283167</v>
      </c>
      <c r="F10" s="44">
        <f>SUM(E10)/D10</f>
        <v>0.566334</v>
      </c>
      <c r="G10" s="13">
        <f>SUM('0419 (입고)'!$N$44)</f>
        <v>1793.8212075928102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36" t="s">
        <v>82</v>
      </c>
      <c r="L16" s="37">
        <v>30000</v>
      </c>
      <c r="M16" s="37"/>
      <c r="N16" s="94">
        <f t="shared" ref="N16:N22" si="3">IF(L16="","",($G$10))</f>
        <v>1793.8212075928102</v>
      </c>
      <c r="O16" s="95">
        <f t="shared" ref="O16:O22" si="4">IF(L16="","",(SUM(M16)-N16))</f>
        <v>-1793.8212075928102</v>
      </c>
      <c r="P16" s="96">
        <f t="shared" ref="P16:P22" si="5">IF(L16="","",(L16*O16))</f>
        <v>-53814636.227784306</v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10"/>
      <c r="L18" s="16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110"/>
      <c r="L19" s="16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30000</v>
      </c>
      <c r="M23" s="92"/>
      <c r="N23" s="92"/>
      <c r="O23" s="92"/>
      <c r="P23" s="93">
        <f>SUM(P16:P22)</f>
        <v>-53814636.227784306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66225</v>
      </c>
      <c r="D29" s="177"/>
      <c r="E29" s="178">
        <f>$G$9</f>
        <v>1394.8646426337243</v>
      </c>
      <c r="F29" s="178"/>
      <c r="G29" s="177">
        <f>C29*E29</f>
        <v>92374910.958418399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253167</v>
      </c>
      <c r="D30" s="174"/>
      <c r="E30" s="185">
        <f>$G$10</f>
        <v>1793.8212075928102</v>
      </c>
      <c r="F30" s="185"/>
      <c r="G30" s="174">
        <f>C30*E30</f>
        <v>454136333.66264898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66225</v>
      </c>
      <c r="D36" s="177"/>
      <c r="E36" s="177">
        <f>$G$29+$O$29</f>
        <v>92374910.958418399</v>
      </c>
      <c r="F36" s="177"/>
      <c r="G36" s="178">
        <f>E36/C36</f>
        <v>1394.8646426337243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253167</v>
      </c>
      <c r="D37" s="174"/>
      <c r="E37" s="174">
        <f>$G$30+$O$30</f>
        <v>454136333.66264898</v>
      </c>
      <c r="F37" s="174"/>
      <c r="G37" s="185">
        <f>E37/C37</f>
        <v>1793.8212075928102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66225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66225</v>
      </c>
      <c r="L43" s="231"/>
      <c r="M43" s="63">
        <f>SUM($K$43)/$D$9</f>
        <v>0.331125</v>
      </c>
      <c r="N43" s="64">
        <f>$G$36</f>
        <v>1394.8646426337243</v>
      </c>
      <c r="O43" s="103"/>
      <c r="P43" s="23"/>
      <c r="Q43" s="125">
        <v>46119</v>
      </c>
      <c r="R43" s="2" t="s">
        <v>61</v>
      </c>
      <c r="S43" s="2">
        <v>32000</v>
      </c>
      <c r="T43" s="2" t="s">
        <v>76</v>
      </c>
    </row>
    <row r="44" spans="2:25" ht="24.75" customHeight="1">
      <c r="B44" s="65" t="s">
        <v>41</v>
      </c>
      <c r="C44" s="232">
        <f>SUM($E$10)</f>
        <v>283167</v>
      </c>
      <c r="D44" s="233"/>
      <c r="E44" s="66"/>
      <c r="F44" s="234">
        <f>$K$30</f>
        <v>0</v>
      </c>
      <c r="G44" s="235"/>
      <c r="H44" s="235">
        <f>$L$23</f>
        <v>30000</v>
      </c>
      <c r="I44" s="235"/>
      <c r="J44" s="235"/>
      <c r="K44" s="236">
        <f>$C$44-$H$44+$F$44+$O$44</f>
        <v>253167</v>
      </c>
      <c r="L44" s="236"/>
      <c r="M44" s="67">
        <f>SUM($K$44)/D10</f>
        <v>0.50633399999999995</v>
      </c>
      <c r="N44" s="68">
        <f>$G$37</f>
        <v>1793.8212075928102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tabColor rgb="FFFFFF00"/>
    <pageSetUpPr fitToPage="1"/>
  </sheetPr>
  <dimension ref="B1:Y124"/>
  <sheetViews>
    <sheetView showGridLines="0" topLeftCell="A26" zoomScaleNormal="100" workbookViewId="0">
      <selection activeCell="P46" sqref="P46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SUM('0419'!$K$43:$L$43)</f>
        <v>66225</v>
      </c>
      <c r="F9" s="42">
        <f>SUM(E9)/D9</f>
        <v>0.331125</v>
      </c>
      <c r="G9" s="10">
        <f>SUM('0419'!$N$43)</f>
        <v>1394.8646426337243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SUM('0419'!$K$44:$L$44)</f>
        <v>253167</v>
      </c>
      <c r="F10" s="44">
        <f>SUM(E10)/D10</f>
        <v>0.50633399999999995</v>
      </c>
      <c r="G10" s="13">
        <f>SUM('0419'!$N$44)</f>
        <v>1793.8212075928102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36"/>
      <c r="L16" s="37"/>
      <c r="M16" s="37"/>
      <c r="N16" s="94" t="str">
        <f t="shared" ref="N16:N22" si="3">IF(L16="","",($G$10))</f>
        <v/>
      </c>
      <c r="O16" s="95" t="str">
        <f t="shared" ref="O16:O22" si="4">IF(L16="","",(SUM(M16)-N16))</f>
        <v/>
      </c>
      <c r="P16" s="96" t="str">
        <f t="shared" ref="P16:P22" si="5">IF(L16="","",(L16*O16))</f>
        <v/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10"/>
      <c r="L18" s="16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110"/>
      <c r="L19" s="16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0</v>
      </c>
      <c r="M23" s="92"/>
      <c r="N23" s="92"/>
      <c r="O23" s="92"/>
      <c r="P23" s="93">
        <f>SUM(P16:P22)</f>
        <v>0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66225</v>
      </c>
      <c r="D29" s="177"/>
      <c r="E29" s="178">
        <f>$G$9</f>
        <v>1394.8646426337243</v>
      </c>
      <c r="F29" s="178"/>
      <c r="G29" s="177">
        <f>C29*E29</f>
        <v>92374910.958418399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253167</v>
      </c>
      <c r="D30" s="174"/>
      <c r="E30" s="185">
        <f>$G$10</f>
        <v>1793.8212075928102</v>
      </c>
      <c r="F30" s="185"/>
      <c r="G30" s="174">
        <f>C30*E30</f>
        <v>454136333.66264898</v>
      </c>
      <c r="H30" s="175"/>
      <c r="I30" s="17"/>
      <c r="J30" s="50" t="s">
        <v>11</v>
      </c>
      <c r="K30" s="186">
        <v>32000</v>
      </c>
      <c r="L30" s="187"/>
      <c r="M30" s="237">
        <v>1889.0135177380901</v>
      </c>
      <c r="N30" s="238"/>
      <c r="O30" s="174">
        <f>K30*M30</f>
        <v>60448432.567618884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66225</v>
      </c>
      <c r="D36" s="177"/>
      <c r="E36" s="177">
        <f>$G$29+$O$29</f>
        <v>92374910.958418399</v>
      </c>
      <c r="F36" s="177"/>
      <c r="G36" s="178">
        <f>E36/C36</f>
        <v>1394.8646426337243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285167</v>
      </c>
      <c r="D37" s="174"/>
      <c r="E37" s="174">
        <f>$G$30+$O$30</f>
        <v>514584766.23026788</v>
      </c>
      <c r="F37" s="174"/>
      <c r="G37" s="185">
        <f>E37/C37</f>
        <v>1804.5032077002875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66225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66225</v>
      </c>
      <c r="L43" s="231"/>
      <c r="M43" s="63">
        <f>SUM($K$43)/$D$9</f>
        <v>0.331125</v>
      </c>
      <c r="N43" s="64">
        <f>$G$36</f>
        <v>1394.8646426337243</v>
      </c>
      <c r="O43" s="103"/>
      <c r="P43" s="23"/>
      <c r="Q43" s="125">
        <v>46119</v>
      </c>
      <c r="R43" s="2" t="s">
        <v>61</v>
      </c>
      <c r="S43" s="2">
        <v>32000</v>
      </c>
      <c r="T43" s="2" t="s">
        <v>76</v>
      </c>
    </row>
    <row r="44" spans="2:25" ht="24.75" customHeight="1">
      <c r="B44" s="65" t="s">
        <v>41</v>
      </c>
      <c r="C44" s="232">
        <f>SUM($E$10)</f>
        <v>253167</v>
      </c>
      <c r="D44" s="233"/>
      <c r="E44" s="66"/>
      <c r="F44" s="234">
        <f>$K$30</f>
        <v>32000</v>
      </c>
      <c r="G44" s="235"/>
      <c r="H44" s="235">
        <f>$L$23</f>
        <v>0</v>
      </c>
      <c r="I44" s="235"/>
      <c r="J44" s="235"/>
      <c r="K44" s="236">
        <f>$C$44-$H$44+$F$44+$O$44</f>
        <v>285167</v>
      </c>
      <c r="L44" s="236"/>
      <c r="M44" s="67">
        <f>SUM($K$44)/D10</f>
        <v>0.57033400000000001</v>
      </c>
      <c r="N44" s="68">
        <f>$G$37</f>
        <v>1804.5032077002875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5:C46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tabColor rgb="FFFFFF00"/>
    <pageSetUpPr fitToPage="1"/>
  </sheetPr>
  <dimension ref="B1:Y124"/>
  <sheetViews>
    <sheetView showGridLines="0" topLeftCell="A18" zoomScaleNormal="100" workbookViewId="0">
      <selection activeCell="M30" sqref="M30:N30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SUM('0422 (입고)'!$K$43:$L$43)</f>
        <v>66225</v>
      </c>
      <c r="F9" s="42">
        <f>SUM(E9)/D9</f>
        <v>0.331125</v>
      </c>
      <c r="G9" s="10">
        <f>SUM('0422 (입고)'!$N$43)</f>
        <v>1394.8646426337243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SUM('0422 (입고)'!$K$44:$L$44)</f>
        <v>285167</v>
      </c>
      <c r="F10" s="44">
        <f>SUM(E10)/D10</f>
        <v>0.57033400000000001</v>
      </c>
      <c r="G10" s="13">
        <f>SUM('0422 (입고)'!$N$44)</f>
        <v>1804.5032077002875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36"/>
      <c r="L16" s="37"/>
      <c r="M16" s="37"/>
      <c r="N16" s="94" t="str">
        <f t="shared" ref="N16:N22" si="3">IF(L16="","",($G$10))</f>
        <v/>
      </c>
      <c r="O16" s="95" t="str">
        <f t="shared" ref="O16:O22" si="4">IF(L16="","",(SUM(M16)-N16))</f>
        <v/>
      </c>
      <c r="P16" s="96" t="str">
        <f t="shared" ref="P16:P22" si="5">IF(L16="","",(L16*O16))</f>
        <v/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10"/>
      <c r="L18" s="16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110"/>
      <c r="L19" s="16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0</v>
      </c>
      <c r="M23" s="92"/>
      <c r="N23" s="92"/>
      <c r="O23" s="92"/>
      <c r="P23" s="93">
        <f>SUM(P16:P22)</f>
        <v>0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66225</v>
      </c>
      <c r="D29" s="177"/>
      <c r="E29" s="178">
        <f>$G$9</f>
        <v>1394.8646426337243</v>
      </c>
      <c r="F29" s="178"/>
      <c r="G29" s="177">
        <f>C29*E29</f>
        <v>92374910.958418399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285167</v>
      </c>
      <c r="D30" s="174"/>
      <c r="E30" s="185">
        <f>$G$10</f>
        <v>1804.5032077002875</v>
      </c>
      <c r="F30" s="185"/>
      <c r="G30" s="174">
        <f>C30*E30</f>
        <v>514584766.23026788</v>
      </c>
      <c r="H30" s="175"/>
      <c r="I30" s="17"/>
      <c r="J30" s="50" t="s">
        <v>11</v>
      </c>
      <c r="K30" s="186">
        <v>64000</v>
      </c>
      <c r="L30" s="187"/>
      <c r="M30" s="237">
        <v>1889.0135177380901</v>
      </c>
      <c r="N30" s="238"/>
      <c r="O30" s="174">
        <f>K30*M30</f>
        <v>120896865.13523777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66225</v>
      </c>
      <c r="D36" s="177"/>
      <c r="E36" s="177">
        <f>$G$29+$O$29</f>
        <v>92374910.958418399</v>
      </c>
      <c r="F36" s="177"/>
      <c r="G36" s="178">
        <f>E36/C36</f>
        <v>1394.8646426337243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349167</v>
      </c>
      <c r="D37" s="174"/>
      <c r="E37" s="174">
        <f>$G$30+$O$30</f>
        <v>635481631.3655057</v>
      </c>
      <c r="F37" s="174"/>
      <c r="G37" s="185">
        <f>E37/C37</f>
        <v>1819.9933881652782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66225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66225</v>
      </c>
      <c r="L43" s="231"/>
      <c r="M43" s="63">
        <f>SUM($K$43)/$D$9</f>
        <v>0.331125</v>
      </c>
      <c r="N43" s="64">
        <f>$G$36</f>
        <v>1394.8646426337243</v>
      </c>
      <c r="O43" s="103"/>
      <c r="P43" s="23"/>
      <c r="Q43" s="125">
        <v>46119</v>
      </c>
      <c r="R43" s="2" t="s">
        <v>61</v>
      </c>
      <c r="S43" s="2">
        <v>32000</v>
      </c>
      <c r="T43" s="2" t="s">
        <v>76</v>
      </c>
    </row>
    <row r="44" spans="2:25" ht="24.75" customHeight="1">
      <c r="B44" s="65" t="s">
        <v>41</v>
      </c>
      <c r="C44" s="232">
        <f>SUM($E$10)</f>
        <v>285167</v>
      </c>
      <c r="D44" s="233"/>
      <c r="E44" s="66"/>
      <c r="F44" s="234">
        <f>$K$30</f>
        <v>64000</v>
      </c>
      <c r="G44" s="235"/>
      <c r="H44" s="235">
        <f>$L$23</f>
        <v>0</v>
      </c>
      <c r="I44" s="235"/>
      <c r="J44" s="235"/>
      <c r="K44" s="236">
        <f>$C$44-$H$44+$F$44+$O$44</f>
        <v>349167</v>
      </c>
      <c r="L44" s="236"/>
      <c r="M44" s="67">
        <f>SUM($K$44)/D10</f>
        <v>0.69833400000000001</v>
      </c>
      <c r="N44" s="68">
        <f>$G$37</f>
        <v>1819.9933881652782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pageSetUpPr fitToPage="1"/>
  </sheetPr>
  <dimension ref="B1:Y124"/>
  <sheetViews>
    <sheetView showGridLines="0" topLeftCell="A28" zoomScaleNormal="100" workbookViewId="0">
      <selection activeCell="D18" sqref="D18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SUM('0423 (입고)'!$K$43:$L$43)</f>
        <v>66225</v>
      </c>
      <c r="F9" s="42">
        <f>SUM(E9)/D9</f>
        <v>0.331125</v>
      </c>
      <c r="G9" s="10">
        <f>SUM('0423 (입고)'!$N$43)</f>
        <v>1394.8646426337243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SUM('0423 (입고)'!$K$44:$L$44)</f>
        <v>349167</v>
      </c>
      <c r="F10" s="44">
        <f>SUM(E10)/D10</f>
        <v>0.69833400000000001</v>
      </c>
      <c r="G10" s="13">
        <f>SUM('0423 (입고)'!$N$44)</f>
        <v>1819.9933881652782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 t="s">
        <v>51</v>
      </c>
      <c r="D16" s="37">
        <v>4000</v>
      </c>
      <c r="E16" s="37"/>
      <c r="F16" s="77">
        <f t="shared" ref="F16:F22" si="0">IF(D16="","",(SUM($G$9)))</f>
        <v>1394.8646426337243</v>
      </c>
      <c r="G16" s="78">
        <f t="shared" ref="G16:G22" si="1">IF(D16="","",(SUM(E16)-F16))</f>
        <v>-1394.8646426337243</v>
      </c>
      <c r="H16" s="79">
        <f t="shared" ref="H16:H22" si="2">IF(D16="","",(D16*G16))</f>
        <v>-5579458.570534897</v>
      </c>
      <c r="I16" s="17"/>
      <c r="J16" s="159" t="s">
        <v>22</v>
      </c>
      <c r="K16" s="110" t="s">
        <v>51</v>
      </c>
      <c r="L16" s="16">
        <v>24000</v>
      </c>
      <c r="M16" s="37"/>
      <c r="N16" s="94">
        <f t="shared" ref="N16:N22" si="3">IF(L16="","",($G$10))</f>
        <v>1819.9933881652782</v>
      </c>
      <c r="O16" s="95">
        <f t="shared" ref="O16:O22" si="4">IF(L16="","",(SUM(M16)-N16))</f>
        <v>-1819.9933881652782</v>
      </c>
      <c r="P16" s="96">
        <f t="shared" ref="P16:P22" si="5">IF(L16="","",(L16*O16))</f>
        <v>-43679841.315966681</v>
      </c>
    </row>
    <row r="17" spans="2:18" ht="24" customHeight="1">
      <c r="B17" s="158"/>
      <c r="C17" s="110" t="s">
        <v>61</v>
      </c>
      <c r="D17" s="16">
        <v>3000</v>
      </c>
      <c r="E17" s="16"/>
      <c r="F17" s="80">
        <f t="shared" si="0"/>
        <v>1394.8646426337243</v>
      </c>
      <c r="G17" s="81">
        <f t="shared" si="1"/>
        <v>-1394.8646426337243</v>
      </c>
      <c r="H17" s="82">
        <f t="shared" si="2"/>
        <v>-4184593.927901173</v>
      </c>
      <c r="I17" s="17"/>
      <c r="J17" s="159"/>
      <c r="K17" s="110" t="s">
        <v>69</v>
      </c>
      <c r="L17" s="16">
        <v>32000</v>
      </c>
      <c r="M17" s="16"/>
      <c r="N17" s="97">
        <f t="shared" si="3"/>
        <v>1819.9933881652782</v>
      </c>
      <c r="O17" s="98">
        <f t="shared" si="4"/>
        <v>-1819.9933881652782</v>
      </c>
      <c r="P17" s="99">
        <f t="shared" si="5"/>
        <v>-58239788.421288908</v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36" t="s">
        <v>75</v>
      </c>
      <c r="L18" s="37">
        <v>64000</v>
      </c>
      <c r="M18" s="16"/>
      <c r="N18" s="97">
        <f t="shared" si="3"/>
        <v>1819.9933881652782</v>
      </c>
      <c r="O18" s="98">
        <f t="shared" si="4"/>
        <v>-1819.9933881652782</v>
      </c>
      <c r="P18" s="99">
        <f t="shared" si="5"/>
        <v>-116479576.84257782</v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36"/>
      <c r="L19" s="37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7000</v>
      </c>
      <c r="E23" s="75"/>
      <c r="F23" s="75"/>
      <c r="G23" s="75"/>
      <c r="H23" s="76">
        <f>SUM(H16:H22)</f>
        <v>-9764052.498436071</v>
      </c>
      <c r="I23" s="106"/>
      <c r="J23" s="89" t="s">
        <v>24</v>
      </c>
      <c r="K23" s="90"/>
      <c r="L23" s="91">
        <f>SUM(L16:L22)</f>
        <v>120000</v>
      </c>
      <c r="M23" s="92"/>
      <c r="N23" s="92"/>
      <c r="O23" s="92"/>
      <c r="P23" s="93">
        <f>SUM(P16:P22)</f>
        <v>-218399206.57983339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59225</v>
      </c>
      <c r="D29" s="177"/>
      <c r="E29" s="178">
        <f>$G$9</f>
        <v>1394.8646426337243</v>
      </c>
      <c r="F29" s="178"/>
      <c r="G29" s="177">
        <f>C29*E29</f>
        <v>82610858.459982321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229167</v>
      </c>
      <c r="D30" s="174"/>
      <c r="E30" s="185">
        <f>$G$10</f>
        <v>1819.9933881652782</v>
      </c>
      <c r="F30" s="185"/>
      <c r="G30" s="174">
        <f>C30*E30</f>
        <v>417082424.78567231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59225</v>
      </c>
      <c r="D36" s="177"/>
      <c r="E36" s="177">
        <f>$G$29+$O$29</f>
        <v>82610858.459982321</v>
      </c>
      <c r="F36" s="177"/>
      <c r="G36" s="178">
        <f>E36/C36</f>
        <v>1394.8646426337243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229167</v>
      </c>
      <c r="D37" s="174"/>
      <c r="E37" s="174">
        <f>$G$30+$O$30</f>
        <v>417082424.78567231</v>
      </c>
      <c r="F37" s="174"/>
      <c r="G37" s="185">
        <f>E37/C37</f>
        <v>1819.9933881652782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66225</v>
      </c>
      <c r="D43" s="228"/>
      <c r="E43" s="62"/>
      <c r="F43" s="229">
        <f>$K$29</f>
        <v>0</v>
      </c>
      <c r="G43" s="230"/>
      <c r="H43" s="230">
        <f>$D$23</f>
        <v>7000</v>
      </c>
      <c r="I43" s="230"/>
      <c r="J43" s="230"/>
      <c r="K43" s="231">
        <f>$C$43-$H$43+$F$43+$O$43</f>
        <v>59225</v>
      </c>
      <c r="L43" s="231"/>
      <c r="M43" s="63">
        <f>SUM($K$43)/$D$9</f>
        <v>0.29612500000000003</v>
      </c>
      <c r="N43" s="64">
        <f>$G$36</f>
        <v>1394.8646426337243</v>
      </c>
      <c r="O43" s="103"/>
      <c r="P43" s="23"/>
      <c r="Q43" s="125">
        <v>46119</v>
      </c>
      <c r="R43" s="2" t="s">
        <v>61</v>
      </c>
      <c r="S43" s="2">
        <v>32000</v>
      </c>
      <c r="T43" s="2" t="s">
        <v>76</v>
      </c>
    </row>
    <row r="44" spans="2:25" ht="24.75" customHeight="1">
      <c r="B44" s="65" t="s">
        <v>41</v>
      </c>
      <c r="C44" s="232">
        <f>SUM($E$10)</f>
        <v>349167</v>
      </c>
      <c r="D44" s="233"/>
      <c r="E44" s="66"/>
      <c r="F44" s="234">
        <f>$K$30</f>
        <v>0</v>
      </c>
      <c r="G44" s="235"/>
      <c r="H44" s="235">
        <f>$L$23</f>
        <v>120000</v>
      </c>
      <c r="I44" s="235"/>
      <c r="J44" s="235"/>
      <c r="K44" s="236">
        <f>$C$44-$H$44+$F$44+$O$44</f>
        <v>229167</v>
      </c>
      <c r="L44" s="236"/>
      <c r="M44" s="67">
        <f>SUM($K$44)/D10</f>
        <v>0.45833400000000002</v>
      </c>
      <c r="N44" s="68">
        <f>$G$37</f>
        <v>1819.9933881652782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5:C46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pageSetUpPr fitToPage="1"/>
  </sheetPr>
  <dimension ref="B1:Y124"/>
  <sheetViews>
    <sheetView showGridLines="0" topLeftCell="C28" zoomScaleNormal="100" workbookViewId="0">
      <selection activeCell="T47" sqref="T47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SUM('0427'!$K$43:$L$43)</f>
        <v>59225</v>
      </c>
      <c r="F9" s="42">
        <f>SUM(E9)/D9</f>
        <v>0.29612500000000003</v>
      </c>
      <c r="G9" s="10">
        <f>SUM('0427'!$N$43)</f>
        <v>1394.8646426337243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SUM('0427'!$K$44:$L$44)</f>
        <v>229167</v>
      </c>
      <c r="F10" s="44">
        <f>SUM(E10)/D10</f>
        <v>0.45833400000000002</v>
      </c>
      <c r="G10" s="13">
        <f>SUM('0427'!$N$44)</f>
        <v>1819.9933881652782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 t="s">
        <v>78</v>
      </c>
      <c r="D16" s="37">
        <v>4000</v>
      </c>
      <c r="E16" s="37"/>
      <c r="F16" s="77">
        <f t="shared" ref="F16:F22" si="0">IF(D16="","",(SUM($G$9)))</f>
        <v>1394.8646426337243</v>
      </c>
      <c r="G16" s="78">
        <f t="shared" ref="G16:G22" si="1">IF(D16="","",(SUM(E16)-F16))</f>
        <v>-1394.8646426337243</v>
      </c>
      <c r="H16" s="79">
        <f t="shared" ref="H16:H22" si="2">IF(D16="","",(D16*G16))</f>
        <v>-5579458.570534897</v>
      </c>
      <c r="I16" s="17"/>
      <c r="J16" s="159" t="s">
        <v>22</v>
      </c>
      <c r="K16" s="110" t="s">
        <v>78</v>
      </c>
      <c r="L16" s="16">
        <v>28000</v>
      </c>
      <c r="M16" s="37"/>
      <c r="N16" s="94">
        <f t="shared" ref="N16:N22" si="3">IF(L16="","",($G$10))</f>
        <v>1819.9933881652782</v>
      </c>
      <c r="O16" s="95">
        <f t="shared" ref="O16:O22" si="4">IF(L16="","",(SUM(M16)-N16))</f>
        <v>-1819.9933881652782</v>
      </c>
      <c r="P16" s="96">
        <f t="shared" ref="P16:P22" si="5">IF(L16="","",(L16*O16))</f>
        <v>-50959814.868627794</v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36"/>
      <c r="L18" s="37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36"/>
      <c r="L19" s="37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4000</v>
      </c>
      <c r="E23" s="75"/>
      <c r="F23" s="75"/>
      <c r="G23" s="75"/>
      <c r="H23" s="76">
        <f>SUM(H16:H22)</f>
        <v>-5579458.570534897</v>
      </c>
      <c r="I23" s="106"/>
      <c r="J23" s="89" t="s">
        <v>24</v>
      </c>
      <c r="K23" s="90"/>
      <c r="L23" s="91">
        <f>SUM(L16:L22)</f>
        <v>28000</v>
      </c>
      <c r="M23" s="92"/>
      <c r="N23" s="92"/>
      <c r="O23" s="92"/>
      <c r="P23" s="93">
        <f>SUM(P16:P22)</f>
        <v>-50959814.868627794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55225</v>
      </c>
      <c r="D29" s="177"/>
      <c r="E29" s="178">
        <f>$G$9</f>
        <v>1394.8646426337243</v>
      </c>
      <c r="F29" s="178"/>
      <c r="G29" s="177">
        <f>C29*E29</f>
        <v>77031399.889447421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201167</v>
      </c>
      <c r="D30" s="174"/>
      <c r="E30" s="185">
        <f>$G$10</f>
        <v>1819.9933881652782</v>
      </c>
      <c r="F30" s="185"/>
      <c r="G30" s="174">
        <f>C30*E30</f>
        <v>366122609.91704452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55225</v>
      </c>
      <c r="D36" s="177"/>
      <c r="E36" s="177">
        <f>$G$29+$O$29</f>
        <v>77031399.889447421</v>
      </c>
      <c r="F36" s="177"/>
      <c r="G36" s="178">
        <f>E36/C36</f>
        <v>1394.8646426337243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201167</v>
      </c>
      <c r="D37" s="174"/>
      <c r="E37" s="174">
        <f>$G$30+$O$30</f>
        <v>366122609.91704452</v>
      </c>
      <c r="F37" s="174"/>
      <c r="G37" s="185">
        <f>E37/C37</f>
        <v>1819.9933881652782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59225</v>
      </c>
      <c r="D43" s="228"/>
      <c r="E43" s="62"/>
      <c r="F43" s="229">
        <f>$K$29</f>
        <v>0</v>
      </c>
      <c r="G43" s="230"/>
      <c r="H43" s="230">
        <f>$D$23</f>
        <v>4000</v>
      </c>
      <c r="I43" s="230"/>
      <c r="J43" s="230"/>
      <c r="K43" s="231">
        <f>$C$43-$H$43+$F$43+$O$43</f>
        <v>55225</v>
      </c>
      <c r="L43" s="231"/>
      <c r="M43" s="63">
        <f>SUM($K$43)/$D$9</f>
        <v>0.27612500000000001</v>
      </c>
      <c r="N43" s="64">
        <f>$G$36</f>
        <v>1394.8646426337243</v>
      </c>
      <c r="O43" s="103"/>
      <c r="P43" s="23"/>
      <c r="Q43" s="125">
        <v>46119</v>
      </c>
      <c r="R43" s="2" t="s">
        <v>61</v>
      </c>
      <c r="S43" s="2">
        <v>32000</v>
      </c>
      <c r="T43" s="2" t="s">
        <v>76</v>
      </c>
    </row>
    <row r="44" spans="2:25" ht="24.75" customHeight="1">
      <c r="B44" s="65" t="s">
        <v>41</v>
      </c>
      <c r="C44" s="232">
        <f>SUM($E$10)</f>
        <v>229167</v>
      </c>
      <c r="D44" s="233"/>
      <c r="E44" s="66"/>
      <c r="F44" s="234">
        <f>$K$30</f>
        <v>0</v>
      </c>
      <c r="G44" s="235"/>
      <c r="H44" s="235">
        <f>$L$23</f>
        <v>28000</v>
      </c>
      <c r="I44" s="235"/>
      <c r="J44" s="235"/>
      <c r="K44" s="236">
        <f>$C$44-$H$44+$F$44+$O$44</f>
        <v>201167</v>
      </c>
      <c r="L44" s="236"/>
      <c r="M44" s="67">
        <f>SUM($K$44)/D10</f>
        <v>0.40233400000000002</v>
      </c>
      <c r="N44" s="68">
        <f>$G$37</f>
        <v>1819.9933881652782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5:C46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pageSetUpPr fitToPage="1"/>
  </sheetPr>
  <dimension ref="B1:Y124"/>
  <sheetViews>
    <sheetView showGridLines="0" topLeftCell="A25" zoomScaleNormal="100" workbookViewId="0">
      <selection activeCell="K35" sqref="K35:M37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9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SUM('0430'!$K$43:$L$43)</f>
        <v>55225</v>
      </c>
      <c r="F9" s="42">
        <f>SUM(E9)/D9</f>
        <v>0.27612500000000001</v>
      </c>
      <c r="G9" s="10">
        <f>SUM('0430'!$N$43)</f>
        <v>1394.8646426337243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SUM('0430'!$K$44:$L$44)</f>
        <v>201167</v>
      </c>
      <c r="F10" s="44">
        <f>SUM(E10)/D10</f>
        <v>0.40233400000000002</v>
      </c>
      <c r="G10" s="13">
        <f>SUM('0430'!$N$44)</f>
        <v>1819.9933881652782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110" t="s">
        <v>61</v>
      </c>
      <c r="L16" s="16">
        <v>3000</v>
      </c>
      <c r="M16" s="37"/>
      <c r="N16" s="94">
        <f t="shared" ref="N16:N22" si="3">IF(L16="","",($G$10))</f>
        <v>1819.9933881652782</v>
      </c>
      <c r="O16" s="95">
        <f t="shared" ref="O16:O22" si="4">IF(L16="","",(SUM(M16)-N16))</f>
        <v>-1819.9933881652782</v>
      </c>
      <c r="P16" s="96">
        <f t="shared" ref="P16:P22" si="5">IF(L16="","",(L16*O16))</f>
        <v>-5459980.1644958351</v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36"/>
      <c r="L18" s="37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36"/>
      <c r="L19" s="37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3000</v>
      </c>
      <c r="M23" s="92"/>
      <c r="N23" s="92"/>
      <c r="O23" s="92"/>
      <c r="P23" s="93">
        <f>SUM(P16:P22)</f>
        <v>-5459980.1644958351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55225</v>
      </c>
      <c r="D29" s="177"/>
      <c r="E29" s="178">
        <f>$G$9</f>
        <v>1394.8646426337243</v>
      </c>
      <c r="F29" s="178"/>
      <c r="G29" s="177">
        <f>C29*E29</f>
        <v>77031399.889447421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198167</v>
      </c>
      <c r="D30" s="174"/>
      <c r="E30" s="185">
        <f>$G$10</f>
        <v>1819.9933881652782</v>
      </c>
      <c r="F30" s="185"/>
      <c r="G30" s="174">
        <f>C30*E30</f>
        <v>360662629.75254869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27" t="s">
        <v>83</v>
      </c>
      <c r="L35" s="127" t="s">
        <v>84</v>
      </c>
      <c r="M35" s="18" t="s">
        <v>85</v>
      </c>
      <c r="N35" s="18"/>
      <c r="O35" s="19"/>
      <c r="P35" s="19"/>
    </row>
    <row r="36" spans="2:25" ht="24" customHeight="1">
      <c r="B36" s="49" t="s">
        <v>9</v>
      </c>
      <c r="C36" s="176">
        <f>$C$29+$K$29</f>
        <v>55225</v>
      </c>
      <c r="D36" s="177"/>
      <c r="E36" s="177">
        <f>$G$29+$O$29-K36-L36-M36</f>
        <v>70180947.021380424</v>
      </c>
      <c r="F36" s="177"/>
      <c r="G36" s="178">
        <f>E36/C36</f>
        <v>1270.8184159598086</v>
      </c>
      <c r="H36" s="214"/>
      <c r="I36" s="17"/>
      <c r="J36" s="17"/>
      <c r="K36" s="126">
        <v>6180000</v>
      </c>
      <c r="L36" s="128">
        <v>670452.86806700076</v>
      </c>
      <c r="M36" s="129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198167</v>
      </c>
      <c r="D37" s="174"/>
      <c r="E37" s="174">
        <f>$G$30+$O$30-K37-L37-M37</f>
        <v>334967764.89672732</v>
      </c>
      <c r="F37" s="174"/>
      <c r="G37" s="185">
        <f>E37/C37</f>
        <v>1690.330705398615</v>
      </c>
      <c r="H37" s="212"/>
      <c r="I37" s="17"/>
      <c r="J37" s="18"/>
      <c r="K37" s="126">
        <v>23488470</v>
      </c>
      <c r="L37" s="128">
        <v>2206394.8558213962</v>
      </c>
      <c r="M37" s="129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55225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55225</v>
      </c>
      <c r="L43" s="231"/>
      <c r="M43" s="63">
        <f>SUM($K$43)/$D$9</f>
        <v>0.27612500000000001</v>
      </c>
      <c r="N43" s="64">
        <f>$G$36</f>
        <v>1270.8184159598086</v>
      </c>
      <c r="O43" s="103"/>
      <c r="P43" s="23"/>
      <c r="Q43" s="125"/>
    </row>
    <row r="44" spans="2:25" ht="24.75" customHeight="1">
      <c r="B44" s="65" t="s">
        <v>41</v>
      </c>
      <c r="C44" s="232">
        <f>SUM($E$10)</f>
        <v>201167</v>
      </c>
      <c r="D44" s="233"/>
      <c r="E44" s="66"/>
      <c r="F44" s="234">
        <f>$K$30</f>
        <v>0</v>
      </c>
      <c r="G44" s="235"/>
      <c r="H44" s="235">
        <f>$L$23</f>
        <v>3000</v>
      </c>
      <c r="I44" s="235"/>
      <c r="J44" s="235"/>
      <c r="K44" s="236">
        <f>$C$44-$H$44+$F$44+$O$44</f>
        <v>198167</v>
      </c>
      <c r="L44" s="236"/>
      <c r="M44" s="67">
        <f>SUM($K$44)/D10</f>
        <v>0.39633400000000002</v>
      </c>
      <c r="N44" s="68">
        <f>$G$37</f>
        <v>1690.330705398615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tabColor rgb="FFFFFF00"/>
    <pageSetUpPr fitToPage="1"/>
  </sheetPr>
  <dimension ref="B1:Y124"/>
  <sheetViews>
    <sheetView showGridLines="0" topLeftCell="A24" zoomScaleNormal="100" workbookViewId="0">
      <selection activeCell="M30" sqref="M30:N30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SUM('0501'!$K$43:$L$43)</f>
        <v>55225</v>
      </c>
      <c r="F9" s="42">
        <f>SUM(E9)/D9</f>
        <v>0.27612500000000001</v>
      </c>
      <c r="G9" s="10">
        <f>SUM('0501'!$N$43)</f>
        <v>1270.8184159598086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SUM('0501'!$K$44:$L$44)</f>
        <v>198167</v>
      </c>
      <c r="F10" s="44">
        <f>SUM(E10)/D10</f>
        <v>0.39633400000000002</v>
      </c>
      <c r="G10" s="13">
        <f>SUM('0501'!$N$44)</f>
        <v>1690.330705398615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110"/>
      <c r="L16" s="16"/>
      <c r="M16" s="37"/>
      <c r="N16" s="94" t="str">
        <f t="shared" ref="N16:N22" si="3">IF(L16="","",($G$10))</f>
        <v/>
      </c>
      <c r="O16" s="95" t="str">
        <f t="shared" ref="O16:O22" si="4">IF(L16="","",(SUM(M16)-N16))</f>
        <v/>
      </c>
      <c r="P16" s="96" t="str">
        <f t="shared" ref="P16:P22" si="5">IF(L16="","",(L16*O16))</f>
        <v/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36"/>
      <c r="L18" s="37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36"/>
      <c r="L19" s="37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0</v>
      </c>
      <c r="M23" s="92"/>
      <c r="N23" s="92"/>
      <c r="O23" s="92"/>
      <c r="P23" s="93">
        <f>SUM(P16:P22)</f>
        <v>0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55225</v>
      </c>
      <c r="D29" s="177"/>
      <c r="E29" s="178">
        <f>$G$9</f>
        <v>1270.8184159598086</v>
      </c>
      <c r="F29" s="178"/>
      <c r="G29" s="177">
        <f>C29*E29</f>
        <v>70180947.021380424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198167</v>
      </c>
      <c r="D30" s="174"/>
      <c r="E30" s="185">
        <f>$G$10</f>
        <v>1690.330705398615</v>
      </c>
      <c r="F30" s="185"/>
      <c r="G30" s="174">
        <f>C30*E30</f>
        <v>334967764.89672732</v>
      </c>
      <c r="H30" s="175"/>
      <c r="I30" s="17"/>
      <c r="J30" s="50" t="s">
        <v>11</v>
      </c>
      <c r="K30" s="186">
        <v>32006</v>
      </c>
      <c r="L30" s="187"/>
      <c r="M30" s="188">
        <v>1897.2148165415199</v>
      </c>
      <c r="N30" s="189"/>
      <c r="O30" s="174">
        <f>K30*M30</f>
        <v>60722257.418227889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55225</v>
      </c>
      <c r="D36" s="177"/>
      <c r="E36" s="177">
        <f>$G$29+$O$29</f>
        <v>70180947.021380424</v>
      </c>
      <c r="F36" s="177"/>
      <c r="G36" s="178">
        <f>E36/C36</f>
        <v>1270.8184159598086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230173</v>
      </c>
      <c r="D37" s="174"/>
      <c r="E37" s="174">
        <f>$G$30+$O$30</f>
        <v>395690022.31495523</v>
      </c>
      <c r="F37" s="174"/>
      <c r="G37" s="185">
        <f>E37/C37</f>
        <v>1719.0983404437325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55225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55225</v>
      </c>
      <c r="L43" s="231"/>
      <c r="M43" s="63">
        <f>SUM($K$43)/$D$9</f>
        <v>0.27612500000000001</v>
      </c>
      <c r="N43" s="64">
        <f>$G$36</f>
        <v>1270.8184159598086</v>
      </c>
      <c r="O43" s="103"/>
      <c r="P43" s="23"/>
      <c r="Q43" s="125"/>
    </row>
    <row r="44" spans="2:25" ht="24.75" customHeight="1">
      <c r="B44" s="65" t="s">
        <v>41</v>
      </c>
      <c r="C44" s="232">
        <f>SUM($E$10)</f>
        <v>198167</v>
      </c>
      <c r="D44" s="233"/>
      <c r="E44" s="66"/>
      <c r="F44" s="234">
        <f>$K$30</f>
        <v>32006</v>
      </c>
      <c r="G44" s="235"/>
      <c r="H44" s="235">
        <f>$L$23</f>
        <v>0</v>
      </c>
      <c r="I44" s="235"/>
      <c r="J44" s="235"/>
      <c r="K44" s="236">
        <f>$C$44-$H$44+$F$44+$O$44</f>
        <v>230173</v>
      </c>
      <c r="L44" s="236"/>
      <c r="M44" s="67">
        <f>SUM($K$44)/D10</f>
        <v>0.46034599999999998</v>
      </c>
      <c r="N44" s="68">
        <f>$G$37</f>
        <v>1719.0983404437325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tabColor rgb="FFFFFF00"/>
    <pageSetUpPr fitToPage="1"/>
  </sheetPr>
  <dimension ref="B1:Y124"/>
  <sheetViews>
    <sheetView showGridLines="0" topLeftCell="A24" zoomScaleNormal="100" workbookViewId="0">
      <selection activeCell="M30" sqref="M30:N30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SUM('0504 (입고)'!$K$43:$L$43)</f>
        <v>55225</v>
      </c>
      <c r="F9" s="42">
        <f>SUM(E9)/D9</f>
        <v>0.27612500000000001</v>
      </c>
      <c r="G9" s="10">
        <f>SUM('0504 (입고)'!$N$43)</f>
        <v>1270.8184159598086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SUM('0504 (입고)'!$K$44:$L$44)</f>
        <v>230173</v>
      </c>
      <c r="F10" s="44">
        <f>SUM(E10)/D10</f>
        <v>0.46034599999999998</v>
      </c>
      <c r="G10" s="13">
        <f>SUM('0504 (입고)'!$N$44)</f>
        <v>1719.0983404437325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110"/>
      <c r="L16" s="16"/>
      <c r="M16" s="37"/>
      <c r="N16" s="94" t="str">
        <f t="shared" ref="N16:N22" si="3">IF(L16="","",($G$10))</f>
        <v/>
      </c>
      <c r="O16" s="95" t="str">
        <f t="shared" ref="O16:O22" si="4">IF(L16="","",(SUM(M16)-N16))</f>
        <v/>
      </c>
      <c r="P16" s="96" t="str">
        <f t="shared" ref="P16:P22" si="5">IF(L16="","",(L16*O16))</f>
        <v/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36"/>
      <c r="L18" s="37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36"/>
      <c r="L19" s="37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0</v>
      </c>
      <c r="M23" s="92"/>
      <c r="N23" s="92"/>
      <c r="O23" s="92"/>
      <c r="P23" s="93">
        <f>SUM(P16:P22)</f>
        <v>0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55225</v>
      </c>
      <c r="D29" s="177"/>
      <c r="E29" s="178">
        <f>$G$9</f>
        <v>1270.8184159598086</v>
      </c>
      <c r="F29" s="178"/>
      <c r="G29" s="177">
        <f>C29*E29</f>
        <v>70180947.021380424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230173</v>
      </c>
      <c r="D30" s="174"/>
      <c r="E30" s="185">
        <f>$G$10</f>
        <v>1719.0983404437325</v>
      </c>
      <c r="F30" s="185"/>
      <c r="G30" s="174">
        <f>C30*E30</f>
        <v>395690022.31495523</v>
      </c>
      <c r="H30" s="175"/>
      <c r="I30" s="17"/>
      <c r="J30" s="50" t="s">
        <v>11</v>
      </c>
      <c r="K30" s="186">
        <v>63894</v>
      </c>
      <c r="L30" s="187"/>
      <c r="M30" s="188">
        <v>1897.2148165415199</v>
      </c>
      <c r="N30" s="189"/>
      <c r="O30" s="174">
        <f>K30*M30</f>
        <v>121220643.48810387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55225</v>
      </c>
      <c r="D36" s="177"/>
      <c r="E36" s="177">
        <f>$G$29+$O$29</f>
        <v>70180947.021380424</v>
      </c>
      <c r="F36" s="177"/>
      <c r="G36" s="178">
        <f>E36/C36</f>
        <v>1270.8184159598086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294067</v>
      </c>
      <c r="D37" s="174"/>
      <c r="E37" s="174">
        <f>$G$30+$O$30</f>
        <v>516910665.8030591</v>
      </c>
      <c r="F37" s="174"/>
      <c r="G37" s="185">
        <f>E37/C37</f>
        <v>1757.7989567107466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55225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55225</v>
      </c>
      <c r="L43" s="231"/>
      <c r="M43" s="63">
        <f>SUM($K$43)/$D$9</f>
        <v>0.27612500000000001</v>
      </c>
      <c r="N43" s="64">
        <f>$G$36</f>
        <v>1270.8184159598086</v>
      </c>
      <c r="O43" s="103"/>
      <c r="P43" s="23"/>
      <c r="Q43" s="125"/>
    </row>
    <row r="44" spans="2:25" ht="24.75" customHeight="1">
      <c r="B44" s="65" t="s">
        <v>41</v>
      </c>
      <c r="C44" s="232">
        <f>SUM($E$10)</f>
        <v>230173</v>
      </c>
      <c r="D44" s="233"/>
      <c r="E44" s="66"/>
      <c r="F44" s="234">
        <f>$K$30</f>
        <v>63894</v>
      </c>
      <c r="G44" s="235"/>
      <c r="H44" s="235">
        <f>$L$23</f>
        <v>0</v>
      </c>
      <c r="I44" s="235"/>
      <c r="J44" s="235"/>
      <c r="K44" s="236">
        <f>$C$44-$H$44+$F$44+$O$44</f>
        <v>294067</v>
      </c>
      <c r="L44" s="236"/>
      <c r="M44" s="67">
        <f>SUM($K$44)/D10</f>
        <v>0.58813400000000005</v>
      </c>
      <c r="N44" s="68">
        <f>$G$37</f>
        <v>1757.7989567107466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tabColor rgb="FFFFFF00"/>
    <pageSetUpPr fitToPage="1"/>
  </sheetPr>
  <dimension ref="B1:Y124"/>
  <sheetViews>
    <sheetView showGridLines="0" topLeftCell="A28" zoomScaleNormal="100" workbookViewId="0">
      <selection activeCell="M30" sqref="M30:N30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SUM('0505 (입고)'!$K$43:$L$43)</f>
        <v>55225</v>
      </c>
      <c r="F9" s="42">
        <f>SUM(E9)/D9</f>
        <v>0.27612500000000001</v>
      </c>
      <c r="G9" s="10">
        <f>SUM('0505 (입고)'!$N$43)</f>
        <v>1270.8184159598086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SUM('0505 (입고)'!$K$44:$L$44)</f>
        <v>294067</v>
      </c>
      <c r="F10" s="44">
        <f>SUM(E10)/D10</f>
        <v>0.58813400000000005</v>
      </c>
      <c r="G10" s="13">
        <f>SUM('0505 (입고)'!$N$44)</f>
        <v>1757.7989567107466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110"/>
      <c r="L16" s="16"/>
      <c r="M16" s="37"/>
      <c r="N16" s="94" t="str">
        <f t="shared" ref="N16:N22" si="3">IF(L16="","",($G$10))</f>
        <v/>
      </c>
      <c r="O16" s="95" t="str">
        <f t="shared" ref="O16:O22" si="4">IF(L16="","",(SUM(M16)-N16))</f>
        <v/>
      </c>
      <c r="P16" s="96" t="str">
        <f t="shared" ref="P16:P22" si="5">IF(L16="","",(L16*O16))</f>
        <v/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36"/>
      <c r="L18" s="37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36"/>
      <c r="L19" s="37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0</v>
      </c>
      <c r="M23" s="92"/>
      <c r="N23" s="92"/>
      <c r="O23" s="92"/>
      <c r="P23" s="93">
        <f>SUM(P16:P22)</f>
        <v>0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55225</v>
      </c>
      <c r="D29" s="177"/>
      <c r="E29" s="178">
        <f>$G$9</f>
        <v>1270.8184159598086</v>
      </c>
      <c r="F29" s="178"/>
      <c r="G29" s="177">
        <f>C29*E29</f>
        <v>70180947.021380424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294067</v>
      </c>
      <c r="D30" s="174"/>
      <c r="E30" s="185">
        <f>$G$10</f>
        <v>1757.7989567107466</v>
      </c>
      <c r="F30" s="185"/>
      <c r="G30" s="174">
        <f>C30*E30</f>
        <v>516910665.8030591</v>
      </c>
      <c r="H30" s="175"/>
      <c r="I30" s="17"/>
      <c r="J30" s="50" t="s">
        <v>11</v>
      </c>
      <c r="K30" s="186">
        <v>57975</v>
      </c>
      <c r="L30" s="187"/>
      <c r="M30" s="188">
        <v>1897.2148165415199</v>
      </c>
      <c r="N30" s="189"/>
      <c r="O30" s="174">
        <f>K30*M30</f>
        <v>109991028.98899461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55225</v>
      </c>
      <c r="D36" s="177"/>
      <c r="E36" s="177">
        <f>$G$29+$O$29</f>
        <v>70180947.021380424</v>
      </c>
      <c r="F36" s="177"/>
      <c r="G36" s="178">
        <f>E36/C36</f>
        <v>1270.8184159598086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352042</v>
      </c>
      <c r="D37" s="174"/>
      <c r="E37" s="174">
        <f>$G$30+$O$30</f>
        <v>626901694.7920537</v>
      </c>
      <c r="F37" s="174"/>
      <c r="G37" s="185">
        <f>E37/C37</f>
        <v>1780.7582470047712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55225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55225</v>
      </c>
      <c r="L43" s="231"/>
      <c r="M43" s="63">
        <f>SUM($K$43)/$D$9</f>
        <v>0.27612500000000001</v>
      </c>
      <c r="N43" s="64">
        <f>$G$36</f>
        <v>1270.8184159598086</v>
      </c>
      <c r="O43" s="103"/>
      <c r="P43" s="23"/>
      <c r="Q43" s="125"/>
    </row>
    <row r="44" spans="2:25" ht="24.75" customHeight="1">
      <c r="B44" s="65" t="s">
        <v>41</v>
      </c>
      <c r="C44" s="232">
        <f>SUM($E$10)</f>
        <v>294067</v>
      </c>
      <c r="D44" s="233"/>
      <c r="E44" s="66"/>
      <c r="F44" s="234">
        <f>$K$30</f>
        <v>57975</v>
      </c>
      <c r="G44" s="235"/>
      <c r="H44" s="235">
        <f>$L$23</f>
        <v>0</v>
      </c>
      <c r="I44" s="235"/>
      <c r="J44" s="235"/>
      <c r="K44" s="236">
        <f>$C$44-$H$44+$F$44+$O$44</f>
        <v>352042</v>
      </c>
      <c r="L44" s="236"/>
      <c r="M44" s="67">
        <f>SUM($K$44)/D10</f>
        <v>0.70408400000000004</v>
      </c>
      <c r="N44" s="68">
        <f>$G$37</f>
        <v>1780.7582470047712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pageSetUpPr fitToPage="1"/>
  </sheetPr>
  <dimension ref="B1:Y124"/>
  <sheetViews>
    <sheetView showGridLines="0" topLeftCell="A37" zoomScaleNormal="100" workbookViewId="0">
      <selection activeCell="N33" sqref="N33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SUM('0506 (입고)'!$K$43:$L$43)</f>
        <v>55225</v>
      </c>
      <c r="F9" s="42">
        <f>SUM(E9)/D9</f>
        <v>0.27612500000000001</v>
      </c>
      <c r="G9" s="10">
        <f>SUM('0506 (입고)'!$N$43)</f>
        <v>1270.8184159598086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SUM('0506 (입고)'!$K$44:$L$44)</f>
        <v>352042</v>
      </c>
      <c r="F10" s="44">
        <f>SUM(E10)/D10</f>
        <v>0.70408400000000004</v>
      </c>
      <c r="G10" s="13">
        <f>SUM('0506 (입고)'!$N$44)</f>
        <v>1780.7582470047712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110" t="s">
        <v>67</v>
      </c>
      <c r="L16" s="16">
        <v>28000</v>
      </c>
      <c r="M16" s="37"/>
      <c r="N16" s="94">
        <f t="shared" ref="N16:N22" si="3">IF(L16="","",($G$10))</f>
        <v>1780.7582470047712</v>
      </c>
      <c r="O16" s="95">
        <f t="shared" ref="O16:O22" si="4">IF(L16="","",(SUM(M16)-N16))</f>
        <v>-1780.7582470047712</v>
      </c>
      <c r="P16" s="96">
        <f t="shared" ref="P16:P22" si="5">IF(L16="","",(L16*O16))</f>
        <v>-49861230.91613359</v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 t="s">
        <v>82</v>
      </c>
      <c r="L17" s="16">
        <v>30000</v>
      </c>
      <c r="M17" s="16"/>
      <c r="N17" s="97">
        <f t="shared" si="3"/>
        <v>1780.7582470047712</v>
      </c>
      <c r="O17" s="98">
        <f t="shared" si="4"/>
        <v>-1780.7582470047712</v>
      </c>
      <c r="P17" s="99">
        <f t="shared" si="5"/>
        <v>-53422747.410143137</v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36"/>
      <c r="L18" s="37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36"/>
      <c r="L19" s="37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58000</v>
      </c>
      <c r="M23" s="92"/>
      <c r="N23" s="92"/>
      <c r="O23" s="92"/>
      <c r="P23" s="93">
        <f>SUM(P16:P22)</f>
        <v>-103283978.32627672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55225</v>
      </c>
      <c r="D29" s="177"/>
      <c r="E29" s="178">
        <f>$G$9</f>
        <v>1270.8184159598086</v>
      </c>
      <c r="F29" s="178"/>
      <c r="G29" s="177">
        <f>C29*E29</f>
        <v>70180947.021380424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294042</v>
      </c>
      <c r="D30" s="174"/>
      <c r="E30" s="185">
        <f>$G$10</f>
        <v>1780.7582470047712</v>
      </c>
      <c r="F30" s="185"/>
      <c r="G30" s="174">
        <f>C30*E30</f>
        <v>523617716.46577692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55225</v>
      </c>
      <c r="D36" s="177"/>
      <c r="E36" s="177">
        <f>$G$29+$O$29</f>
        <v>70180947.021380424</v>
      </c>
      <c r="F36" s="177"/>
      <c r="G36" s="178">
        <f>E36/C36</f>
        <v>1270.8184159598086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294042</v>
      </c>
      <c r="D37" s="174"/>
      <c r="E37" s="174">
        <f>$G$30+$O$30</f>
        <v>523617716.46577692</v>
      </c>
      <c r="F37" s="174"/>
      <c r="G37" s="185">
        <f>E37/C37</f>
        <v>1780.7582470047712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55225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55225</v>
      </c>
      <c r="L43" s="231"/>
      <c r="M43" s="63">
        <f>SUM($K$43)/$D$9</f>
        <v>0.27612500000000001</v>
      </c>
      <c r="N43" s="64">
        <f>$G$36</f>
        <v>1270.8184159598086</v>
      </c>
      <c r="O43" s="103"/>
      <c r="P43" s="23"/>
      <c r="Q43" s="125"/>
    </row>
    <row r="44" spans="2:25" ht="24.75" customHeight="1">
      <c r="B44" s="65" t="s">
        <v>41</v>
      </c>
      <c r="C44" s="232">
        <f>SUM($E$10)</f>
        <v>352042</v>
      </c>
      <c r="D44" s="233"/>
      <c r="E44" s="66"/>
      <c r="F44" s="234">
        <f>$K$30</f>
        <v>0</v>
      </c>
      <c r="G44" s="235"/>
      <c r="H44" s="235">
        <f>$L$23</f>
        <v>58000</v>
      </c>
      <c r="I44" s="235"/>
      <c r="J44" s="235"/>
      <c r="K44" s="236">
        <f>$C$44-$H$44+$F$44+$O$44</f>
        <v>294042</v>
      </c>
      <c r="L44" s="236"/>
      <c r="M44" s="67">
        <f>SUM($K$44)/D10</f>
        <v>0.58808400000000005</v>
      </c>
      <c r="N44" s="68">
        <f>$G$37</f>
        <v>1780.7582470047712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tabColor rgb="FFFFFF00"/>
    <pageSetUpPr fitToPage="1"/>
  </sheetPr>
  <dimension ref="B1:Y124"/>
  <sheetViews>
    <sheetView showGridLines="0" topLeftCell="A21" zoomScaleNormal="100" workbookViewId="0">
      <selection activeCell="M30" sqref="M30:N30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SUM('0506'!$K$43:$L$43)</f>
        <v>55225</v>
      </c>
      <c r="F9" s="42">
        <f>SUM(E9)/D9</f>
        <v>0.27612500000000001</v>
      </c>
      <c r="G9" s="10">
        <f>SUM('0506'!$N$43)</f>
        <v>1270.8184159598086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SUM('0506'!$K$44:$L$44)</f>
        <v>294042</v>
      </c>
      <c r="F10" s="44">
        <f>SUM(E10)/D10</f>
        <v>0.58808400000000005</v>
      </c>
      <c r="G10" s="13">
        <f>SUM('0506'!$N$44)</f>
        <v>1780.7582470047712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110"/>
      <c r="L16" s="16"/>
      <c r="M16" s="37"/>
      <c r="N16" s="94" t="str">
        <f t="shared" ref="N16:N22" si="3">IF(L16="","",($G$10))</f>
        <v/>
      </c>
      <c r="O16" s="95" t="str">
        <f t="shared" ref="O16:O22" si="4">IF(L16="","",(SUM(M16)-N16))</f>
        <v/>
      </c>
      <c r="P16" s="96" t="str">
        <f t="shared" ref="P16:P22" si="5">IF(L16="","",(L16*O16))</f>
        <v/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36"/>
      <c r="L18" s="37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36"/>
      <c r="L19" s="37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0</v>
      </c>
      <c r="M23" s="92"/>
      <c r="N23" s="92"/>
      <c r="O23" s="92"/>
      <c r="P23" s="93">
        <f>SUM(P16:P22)</f>
        <v>0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55225</v>
      </c>
      <c r="D29" s="177"/>
      <c r="E29" s="178">
        <f>$G$9</f>
        <v>1270.8184159598086</v>
      </c>
      <c r="F29" s="178"/>
      <c r="G29" s="177">
        <f>C29*E29</f>
        <v>70180947.021380424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294042</v>
      </c>
      <c r="D30" s="174"/>
      <c r="E30" s="185">
        <f>$G$10</f>
        <v>1780.7582470047712</v>
      </c>
      <c r="F30" s="185"/>
      <c r="G30" s="174">
        <f>C30*E30</f>
        <v>523617716.46577692</v>
      </c>
      <c r="H30" s="175"/>
      <c r="I30" s="17"/>
      <c r="J30" s="50" t="s">
        <v>11</v>
      </c>
      <c r="K30" s="186">
        <v>91889</v>
      </c>
      <c r="L30" s="187"/>
      <c r="M30" s="188">
        <v>1897.2148165415199</v>
      </c>
      <c r="N30" s="189"/>
      <c r="O30" s="174">
        <f>K30*M30</f>
        <v>174333172.27718371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55225</v>
      </c>
      <c r="D36" s="177"/>
      <c r="E36" s="177">
        <f>$G$29+$O$29</f>
        <v>70180947.021380424</v>
      </c>
      <c r="F36" s="177"/>
      <c r="G36" s="178">
        <f>E36/C36</f>
        <v>1270.8184159598086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385931</v>
      </c>
      <c r="D37" s="174"/>
      <c r="E37" s="174">
        <f>$G$30+$O$30</f>
        <v>697950888.74296069</v>
      </c>
      <c r="F37" s="174"/>
      <c r="G37" s="185">
        <f>E37/C37</f>
        <v>1808.4862028263101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55225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55225</v>
      </c>
      <c r="L43" s="231"/>
      <c r="M43" s="63">
        <f>SUM($K$43)/$D$9</f>
        <v>0.27612500000000001</v>
      </c>
      <c r="N43" s="64">
        <f>$G$36</f>
        <v>1270.8184159598086</v>
      </c>
      <c r="O43" s="103"/>
      <c r="P43" s="23"/>
      <c r="Q43" s="125"/>
    </row>
    <row r="44" spans="2:25" ht="24.75" customHeight="1">
      <c r="B44" s="65" t="s">
        <v>41</v>
      </c>
      <c r="C44" s="232">
        <f>SUM($E$10)</f>
        <v>294042</v>
      </c>
      <c r="D44" s="233"/>
      <c r="E44" s="66"/>
      <c r="F44" s="234">
        <f>$K$30</f>
        <v>91889</v>
      </c>
      <c r="G44" s="235"/>
      <c r="H44" s="235">
        <f>$L$23</f>
        <v>0</v>
      </c>
      <c r="I44" s="235"/>
      <c r="J44" s="235"/>
      <c r="K44" s="236">
        <f>$C$44-$H$44+$F$44+$O$44</f>
        <v>385931</v>
      </c>
      <c r="L44" s="236"/>
      <c r="M44" s="67">
        <f>SUM($K$44)/D10</f>
        <v>0.77186200000000005</v>
      </c>
      <c r="N44" s="68">
        <f>$G$37</f>
        <v>1808.4862028263101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5:C46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pageSetUpPr fitToPage="1"/>
  </sheetPr>
  <dimension ref="B1:Y124"/>
  <sheetViews>
    <sheetView showGridLines="0" topLeftCell="A14" zoomScaleNormal="100" workbookViewId="0">
      <selection activeCell="Q45" sqref="Q45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SUM('0507 (입고)'!$K$43:$L$43)</f>
        <v>55225</v>
      </c>
      <c r="F9" s="42">
        <f>SUM(E9)/D9</f>
        <v>0.27612500000000001</v>
      </c>
      <c r="G9" s="10">
        <f>SUM('0507 (입고)'!$N$43)</f>
        <v>1270.8184159598086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SUM('0507 (입고)'!$K$44:$L$44)</f>
        <v>385931</v>
      </c>
      <c r="F10" s="44">
        <f>SUM(E10)/D10</f>
        <v>0.77186200000000005</v>
      </c>
      <c r="G10" s="13">
        <f>SUM('0507 (입고)'!$N$44)</f>
        <v>1808.4862028263101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110" t="s">
        <v>82</v>
      </c>
      <c r="L16" s="16">
        <v>59889</v>
      </c>
      <c r="M16" s="37"/>
      <c r="N16" s="94">
        <f t="shared" ref="N16:N22" si="3">IF(L16="","",($G$10))</f>
        <v>1808.4862028263101</v>
      </c>
      <c r="O16" s="95">
        <f t="shared" ref="O16:O22" si="4">IF(L16="","",(SUM(M16)-N16))</f>
        <v>-1808.4862028263101</v>
      </c>
      <c r="P16" s="96">
        <f t="shared" ref="P16:P22" si="5">IF(L16="","",(L16*O16))</f>
        <v>-108308430.20106488</v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36"/>
      <c r="L18" s="37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36"/>
      <c r="L19" s="37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59889</v>
      </c>
      <c r="M23" s="92"/>
      <c r="N23" s="92"/>
      <c r="O23" s="92"/>
      <c r="P23" s="93">
        <f>SUM(P16:P22)</f>
        <v>-108308430.20106488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55225</v>
      </c>
      <c r="D29" s="177"/>
      <c r="E29" s="178">
        <f>$G$9</f>
        <v>1270.8184159598086</v>
      </c>
      <c r="F29" s="178"/>
      <c r="G29" s="177">
        <f>C29*E29</f>
        <v>70180947.021380424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326042</v>
      </c>
      <c r="D30" s="174"/>
      <c r="E30" s="185">
        <f>$G$10</f>
        <v>1808.4862028263101</v>
      </c>
      <c r="F30" s="185"/>
      <c r="G30" s="174">
        <f>C30*E30</f>
        <v>589642458.54189575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55225</v>
      </c>
      <c r="D36" s="177"/>
      <c r="E36" s="177">
        <f>$G$29+$O$29</f>
        <v>70180947.021380424</v>
      </c>
      <c r="F36" s="177"/>
      <c r="G36" s="178">
        <f>E36/C36</f>
        <v>1270.8184159598086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326042</v>
      </c>
      <c r="D37" s="174"/>
      <c r="E37" s="174">
        <f>$G$30+$O$30</f>
        <v>589642458.54189575</v>
      </c>
      <c r="F37" s="174"/>
      <c r="G37" s="185">
        <f>E37/C37</f>
        <v>1808.4862028263099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55225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55225</v>
      </c>
      <c r="L43" s="231"/>
      <c r="M43" s="63">
        <f>SUM($K$43)/$D$9</f>
        <v>0.27612500000000001</v>
      </c>
      <c r="N43" s="64">
        <f>$G$36</f>
        <v>1270.8184159598086</v>
      </c>
      <c r="O43" s="103"/>
      <c r="P43" s="23"/>
      <c r="Q43" s="125"/>
    </row>
    <row r="44" spans="2:25" ht="24.75" customHeight="1">
      <c r="B44" s="65" t="s">
        <v>41</v>
      </c>
      <c r="C44" s="232">
        <f>SUM($E$10)</f>
        <v>385931</v>
      </c>
      <c r="D44" s="233"/>
      <c r="E44" s="66"/>
      <c r="F44" s="234">
        <f>$K$30</f>
        <v>0</v>
      </c>
      <c r="G44" s="235"/>
      <c r="H44" s="235">
        <f>$L$23</f>
        <v>59889</v>
      </c>
      <c r="I44" s="235"/>
      <c r="J44" s="235"/>
      <c r="K44" s="236">
        <f>$C$44-$H$44+$F$44+$O$44</f>
        <v>326042</v>
      </c>
      <c r="L44" s="236"/>
      <c r="M44" s="67">
        <f>SUM($K$44)/D10</f>
        <v>0.652084</v>
      </c>
      <c r="N44" s="68">
        <f>$G$37</f>
        <v>1808.4862028263099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5:C46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tabColor rgb="FFFFFF00"/>
    <pageSetUpPr fitToPage="1"/>
  </sheetPr>
  <dimension ref="B1:Y124"/>
  <sheetViews>
    <sheetView showGridLines="0" topLeftCell="A24" zoomScaleNormal="100" workbookViewId="0">
      <selection activeCell="N34" sqref="N34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SUM('0507'!$K$43:$L$43)</f>
        <v>55225</v>
      </c>
      <c r="F9" s="42">
        <f>SUM(E9)/D9</f>
        <v>0.27612500000000001</v>
      </c>
      <c r="G9" s="10">
        <f>SUM('0507'!$N$43)</f>
        <v>1270.8184159598086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SUM('0507'!$K$44:$L$44)</f>
        <v>326042</v>
      </c>
      <c r="F10" s="44">
        <f>SUM(E10)/D10</f>
        <v>0.652084</v>
      </c>
      <c r="G10" s="13">
        <f>SUM('0507'!$N$44)</f>
        <v>1808.4862028263099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110"/>
      <c r="L16" s="16"/>
      <c r="M16" s="37"/>
      <c r="N16" s="94" t="str">
        <f t="shared" ref="N16:N22" si="3">IF(L16="","",($G$10))</f>
        <v/>
      </c>
      <c r="O16" s="95" t="str">
        <f t="shared" ref="O16:O22" si="4">IF(L16="","",(SUM(M16)-N16))</f>
        <v/>
      </c>
      <c r="P16" s="96" t="str">
        <f t="shared" ref="P16:P22" si="5">IF(L16="","",(L16*O16))</f>
        <v/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36"/>
      <c r="L18" s="37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36"/>
      <c r="L19" s="37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0</v>
      </c>
      <c r="M23" s="92"/>
      <c r="N23" s="92"/>
      <c r="O23" s="92"/>
      <c r="P23" s="93">
        <f>SUM(P16:P22)</f>
        <v>0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55225</v>
      </c>
      <c r="D29" s="177"/>
      <c r="E29" s="178">
        <f>$G$9</f>
        <v>1270.8184159598086</v>
      </c>
      <c r="F29" s="178"/>
      <c r="G29" s="177">
        <f>C29*E29</f>
        <v>70180947.021380424</v>
      </c>
      <c r="H29" s="179"/>
      <c r="I29" s="17"/>
      <c r="J29" s="49" t="s">
        <v>9</v>
      </c>
      <c r="K29" s="180">
        <v>29859</v>
      </c>
      <c r="L29" s="181"/>
      <c r="M29" s="182">
        <v>1524.09716662803</v>
      </c>
      <c r="N29" s="183"/>
      <c r="O29" s="177">
        <f>K29*M29</f>
        <v>45508017.298346348</v>
      </c>
      <c r="P29" s="179"/>
      <c r="R29" s="18"/>
    </row>
    <row r="30" spans="2:18" ht="22.5" customHeight="1">
      <c r="B30" s="50" t="s">
        <v>11</v>
      </c>
      <c r="C30" s="184">
        <f>$E$10-$L$23</f>
        <v>326042</v>
      </c>
      <c r="D30" s="174"/>
      <c r="E30" s="185">
        <f>$G$10</f>
        <v>1808.4862028263099</v>
      </c>
      <c r="F30" s="185"/>
      <c r="G30" s="174">
        <f>C30*E30</f>
        <v>589642458.54189575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85084</v>
      </c>
      <c r="D36" s="177"/>
      <c r="E36" s="177">
        <f>$G$29+$O$29</f>
        <v>115688964.31972677</v>
      </c>
      <c r="F36" s="177"/>
      <c r="G36" s="178">
        <f>E36/C36</f>
        <v>1359.7029326280706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326042</v>
      </c>
      <c r="D37" s="174"/>
      <c r="E37" s="174">
        <f>$G$30+$O$30</f>
        <v>589642458.54189575</v>
      </c>
      <c r="F37" s="174"/>
      <c r="G37" s="185">
        <f>E37/C37</f>
        <v>1808.4862028263099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55225</v>
      </c>
      <c r="D43" s="228"/>
      <c r="E43" s="62"/>
      <c r="F43" s="229">
        <f>$K$29</f>
        <v>29859</v>
      </c>
      <c r="G43" s="230"/>
      <c r="H43" s="230">
        <f>$D$23</f>
        <v>0</v>
      </c>
      <c r="I43" s="230"/>
      <c r="J43" s="230"/>
      <c r="K43" s="231">
        <f>$C$43-$H$43+$F$43+$O$43</f>
        <v>85084</v>
      </c>
      <c r="L43" s="231"/>
      <c r="M43" s="63">
        <f>SUM($K$43)/$D$9</f>
        <v>0.42542000000000002</v>
      </c>
      <c r="N43" s="64">
        <f>$G$36</f>
        <v>1359.7029326280706</v>
      </c>
      <c r="O43" s="103"/>
      <c r="P43" s="23"/>
      <c r="Q43" s="125"/>
    </row>
    <row r="44" spans="2:25" ht="24.75" customHeight="1">
      <c r="B44" s="65" t="s">
        <v>41</v>
      </c>
      <c r="C44" s="232">
        <f>SUM($E$10)</f>
        <v>326042</v>
      </c>
      <c r="D44" s="233"/>
      <c r="E44" s="66"/>
      <c r="F44" s="234">
        <f>$K$30</f>
        <v>0</v>
      </c>
      <c r="G44" s="235"/>
      <c r="H44" s="235">
        <f>$L$23</f>
        <v>0</v>
      </c>
      <c r="I44" s="235"/>
      <c r="J44" s="235"/>
      <c r="K44" s="236">
        <f>$C$44-$H$44+$F$44+$O$44</f>
        <v>326042</v>
      </c>
      <c r="L44" s="236"/>
      <c r="M44" s="67">
        <f>SUM($K$44)/D10</f>
        <v>0.652084</v>
      </c>
      <c r="N44" s="68">
        <f>$G$37</f>
        <v>1808.4862028263099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pageSetUpPr fitToPage="1"/>
  </sheetPr>
  <dimension ref="B1:Y124"/>
  <sheetViews>
    <sheetView showGridLines="0" topLeftCell="A24" zoomScaleNormal="100" workbookViewId="0">
      <selection activeCell="E9" sqref="E9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SUM('0512 (입고)'!$K$43:$L$43)</f>
        <v>85084</v>
      </c>
      <c r="F9" s="42">
        <f>SUM(E9)/D9</f>
        <v>0.42542000000000002</v>
      </c>
      <c r="G9" s="10">
        <f>SUM('0512 (입고)'!$N$43)</f>
        <v>1359.7029326280706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SUM('0512 (입고)'!$K$44:$L$44)</f>
        <v>326042</v>
      </c>
      <c r="F10" s="44">
        <f>SUM(E10)/D10</f>
        <v>0.652084</v>
      </c>
      <c r="G10" s="13">
        <f>SUM('0512 (입고)'!$N$44)</f>
        <v>1808.4862028263099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 t="s">
        <v>61</v>
      </c>
      <c r="D16" s="37">
        <v>3000</v>
      </c>
      <c r="E16" s="37"/>
      <c r="F16" s="77">
        <f t="shared" ref="F16:F22" si="0">IF(D16="","",(SUM($G$9)))</f>
        <v>1359.7029326280706</v>
      </c>
      <c r="G16" s="78">
        <f t="shared" ref="G16:G22" si="1">IF(D16="","",(SUM(E16)-F16))</f>
        <v>-1359.7029326280706</v>
      </c>
      <c r="H16" s="79">
        <f t="shared" ref="H16:H22" si="2">IF(D16="","",(D16*G16))</f>
        <v>-4079108.7978842119</v>
      </c>
      <c r="I16" s="17"/>
      <c r="J16" s="159" t="s">
        <v>22</v>
      </c>
      <c r="K16" s="110"/>
      <c r="L16" s="16"/>
      <c r="M16" s="37"/>
      <c r="N16" s="94" t="str">
        <f t="shared" ref="N16:N22" si="3">IF(L16="","",($G$10))</f>
        <v/>
      </c>
      <c r="O16" s="95" t="str">
        <f t="shared" ref="O16:O22" si="4">IF(L16="","",(SUM(M16)-N16))</f>
        <v/>
      </c>
      <c r="P16" s="96" t="str">
        <f t="shared" ref="P16:P22" si="5">IF(L16="","",(L16*O16))</f>
        <v/>
      </c>
    </row>
    <row r="17" spans="2:18" ht="24" customHeight="1">
      <c r="B17" s="158"/>
      <c r="C17" s="110" t="s">
        <v>65</v>
      </c>
      <c r="D17" s="16">
        <v>30000</v>
      </c>
      <c r="E17" s="16"/>
      <c r="F17" s="80">
        <f t="shared" si="0"/>
        <v>1359.7029326280706</v>
      </c>
      <c r="G17" s="81">
        <f t="shared" si="1"/>
        <v>-1359.7029326280706</v>
      </c>
      <c r="H17" s="82">
        <f t="shared" si="2"/>
        <v>-40791087.978842117</v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36"/>
      <c r="L18" s="37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36"/>
      <c r="L19" s="37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33000</v>
      </c>
      <c r="E23" s="75"/>
      <c r="F23" s="75"/>
      <c r="G23" s="75"/>
      <c r="H23" s="76">
        <f>SUM(H16:H22)</f>
        <v>-44870196.776726328</v>
      </c>
      <c r="I23" s="106"/>
      <c r="J23" s="89" t="s">
        <v>24</v>
      </c>
      <c r="K23" s="90"/>
      <c r="L23" s="91">
        <f>SUM(L16:L22)</f>
        <v>0</v>
      </c>
      <c r="M23" s="92"/>
      <c r="N23" s="92"/>
      <c r="O23" s="92"/>
      <c r="P23" s="93">
        <f>SUM(P16:P22)</f>
        <v>0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52084</v>
      </c>
      <c r="D29" s="177"/>
      <c r="E29" s="178">
        <f>$G$9</f>
        <v>1359.7029326280706</v>
      </c>
      <c r="F29" s="178"/>
      <c r="G29" s="177">
        <f>C29*E29</f>
        <v>70818767.54300043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326042</v>
      </c>
      <c r="D30" s="174"/>
      <c r="E30" s="185">
        <f>$G$10</f>
        <v>1808.4862028263099</v>
      </c>
      <c r="F30" s="185"/>
      <c r="G30" s="174">
        <f>C30*E30</f>
        <v>589642458.54189575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52084</v>
      </c>
      <c r="D36" s="177"/>
      <c r="E36" s="177">
        <f>$G$29+$O$29</f>
        <v>70818767.54300043</v>
      </c>
      <c r="F36" s="177"/>
      <c r="G36" s="178">
        <f>E36/C36</f>
        <v>1359.7029326280706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326042</v>
      </c>
      <c r="D37" s="174"/>
      <c r="E37" s="174">
        <f>$G$30+$O$30</f>
        <v>589642458.54189575</v>
      </c>
      <c r="F37" s="174"/>
      <c r="G37" s="185">
        <f>E37/C37</f>
        <v>1808.4862028263099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85084</v>
      </c>
      <c r="D43" s="228"/>
      <c r="E43" s="62"/>
      <c r="F43" s="229">
        <f>$K$29</f>
        <v>0</v>
      </c>
      <c r="G43" s="230"/>
      <c r="H43" s="230">
        <f>$D$23</f>
        <v>33000</v>
      </c>
      <c r="I43" s="230"/>
      <c r="J43" s="230"/>
      <c r="K43" s="231">
        <f>$C$43-$H$43+$F$43+$O$43</f>
        <v>52084</v>
      </c>
      <c r="L43" s="231"/>
      <c r="M43" s="63">
        <f>SUM($K$43)/$D$9</f>
        <v>0.26041999999999998</v>
      </c>
      <c r="N43" s="64">
        <f>$G$36</f>
        <v>1359.7029326280706</v>
      </c>
      <c r="O43" s="103"/>
      <c r="P43" s="23"/>
      <c r="Q43" s="125"/>
    </row>
    <row r="44" spans="2:25" ht="24.75" customHeight="1">
      <c r="B44" s="65" t="s">
        <v>41</v>
      </c>
      <c r="C44" s="232">
        <f>SUM($E$10)</f>
        <v>326042</v>
      </c>
      <c r="D44" s="233"/>
      <c r="E44" s="66"/>
      <c r="F44" s="234">
        <f>$K$30</f>
        <v>0</v>
      </c>
      <c r="G44" s="235"/>
      <c r="H44" s="235">
        <f>$L$23</f>
        <v>0</v>
      </c>
      <c r="I44" s="235"/>
      <c r="J44" s="235"/>
      <c r="K44" s="236">
        <f>$C$44-$H$44+$F$44+$O$44</f>
        <v>326042</v>
      </c>
      <c r="L44" s="236"/>
      <c r="M44" s="67">
        <f>SUM($K$44)/D10</f>
        <v>0.652084</v>
      </c>
      <c r="N44" s="68">
        <f>$G$37</f>
        <v>1808.4862028263099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pageSetUpPr fitToPage="1"/>
  </sheetPr>
  <dimension ref="B1:Y124"/>
  <sheetViews>
    <sheetView showGridLines="0" zoomScaleNormal="100" workbookViewId="0">
      <selection activeCell="M50" sqref="M50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SUM('0512'!$K$43:$L$43)</f>
        <v>52084</v>
      </c>
      <c r="F9" s="42">
        <f>SUM(E9)/D9</f>
        <v>0.26041999999999998</v>
      </c>
      <c r="G9" s="10">
        <f>SUM('0512'!$N$43)</f>
        <v>1359.7029326280706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SUM('0512'!$K$44:$L$44)</f>
        <v>326042</v>
      </c>
      <c r="F10" s="44">
        <f>SUM(E10)/D10</f>
        <v>0.652084</v>
      </c>
      <c r="G10" s="13">
        <f>SUM('0512'!$N$44)</f>
        <v>1808.4862028263099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 t="s">
        <v>86</v>
      </c>
      <c r="D16" s="37">
        <v>4000</v>
      </c>
      <c r="E16" s="37"/>
      <c r="F16" s="77">
        <f t="shared" ref="F16:F22" si="0">IF(D16="","",(SUM($G$9)))</f>
        <v>1359.7029326280706</v>
      </c>
      <c r="G16" s="78">
        <f t="shared" ref="G16:G22" si="1">IF(D16="","",(SUM(E16)-F16))</f>
        <v>-1359.7029326280706</v>
      </c>
      <c r="H16" s="79">
        <f t="shared" ref="H16:H22" si="2">IF(D16="","",(D16*G16))</f>
        <v>-5438811.7305122819</v>
      </c>
      <c r="I16" s="17"/>
      <c r="J16" s="159" t="s">
        <v>22</v>
      </c>
      <c r="K16" s="110" t="s">
        <v>87</v>
      </c>
      <c r="L16" s="16">
        <v>16000</v>
      </c>
      <c r="M16" s="37"/>
      <c r="N16" s="94">
        <f t="shared" ref="N16:N22" si="3">IF(L16="","",($G$10))</f>
        <v>1808.4862028263099</v>
      </c>
      <c r="O16" s="95">
        <f t="shared" ref="O16:O22" si="4">IF(L16="","",(SUM(M16)-N16))</f>
        <v>-1808.4862028263099</v>
      </c>
      <c r="P16" s="96">
        <f t="shared" ref="P16:P22" si="5">IF(L16="","",(L16*O16))</f>
        <v>-28935779.245220959</v>
      </c>
    </row>
    <row r="17" spans="2:18" ht="24" customHeight="1">
      <c r="B17" s="158"/>
      <c r="C17" s="110" t="s">
        <v>55</v>
      </c>
      <c r="D17" s="16">
        <v>10000</v>
      </c>
      <c r="E17" s="16"/>
      <c r="F17" s="80">
        <f t="shared" si="0"/>
        <v>1359.7029326280706</v>
      </c>
      <c r="G17" s="81">
        <f t="shared" si="1"/>
        <v>-1359.7029326280706</v>
      </c>
      <c r="H17" s="82">
        <f t="shared" si="2"/>
        <v>-13597029.326280706</v>
      </c>
      <c r="I17" s="17"/>
      <c r="J17" s="159"/>
      <c r="K17" s="110" t="s">
        <v>75</v>
      </c>
      <c r="L17" s="16">
        <v>12000</v>
      </c>
      <c r="M17" s="16"/>
      <c r="N17" s="97">
        <f t="shared" si="3"/>
        <v>1808.4862028263099</v>
      </c>
      <c r="O17" s="98">
        <f t="shared" si="4"/>
        <v>-1808.4862028263099</v>
      </c>
      <c r="P17" s="99">
        <f t="shared" si="5"/>
        <v>-21701834.433915719</v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36"/>
      <c r="L18" s="37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36"/>
      <c r="L19" s="37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14000</v>
      </c>
      <c r="E23" s="75"/>
      <c r="F23" s="75"/>
      <c r="G23" s="75"/>
      <c r="H23" s="76">
        <f>SUM(H16:H22)</f>
        <v>-19035841.056792989</v>
      </c>
      <c r="I23" s="106"/>
      <c r="J23" s="89" t="s">
        <v>24</v>
      </c>
      <c r="K23" s="90"/>
      <c r="L23" s="91">
        <f>SUM(L16:L22)</f>
        <v>28000</v>
      </c>
      <c r="M23" s="92"/>
      <c r="N23" s="92"/>
      <c r="O23" s="92"/>
      <c r="P23" s="93">
        <f>SUM(P16:P22)</f>
        <v>-50637613.679136679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38084</v>
      </c>
      <c r="D29" s="177"/>
      <c r="E29" s="178">
        <f>$G$9</f>
        <v>1359.7029326280706</v>
      </c>
      <c r="F29" s="178"/>
      <c r="G29" s="177">
        <f>C29*E29</f>
        <v>51782926.48620744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298042</v>
      </c>
      <c r="D30" s="174"/>
      <c r="E30" s="185">
        <f>$G$10</f>
        <v>1808.4862028263099</v>
      </c>
      <c r="F30" s="185"/>
      <c r="G30" s="174">
        <f>C30*E30</f>
        <v>539004844.86275899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38084</v>
      </c>
      <c r="D36" s="177"/>
      <c r="E36" s="177">
        <f>$G$29+$O$29</f>
        <v>51782926.48620744</v>
      </c>
      <c r="F36" s="177"/>
      <c r="G36" s="178">
        <f>E36/C36</f>
        <v>1359.7029326280706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298042</v>
      </c>
      <c r="D37" s="174"/>
      <c r="E37" s="174">
        <f>$G$30+$O$30</f>
        <v>539004844.86275899</v>
      </c>
      <c r="F37" s="174"/>
      <c r="G37" s="185">
        <f>E37/C37</f>
        <v>1808.4862028263096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52084</v>
      </c>
      <c r="D43" s="228"/>
      <c r="E43" s="62"/>
      <c r="F43" s="229">
        <f>$K$29</f>
        <v>0</v>
      </c>
      <c r="G43" s="230"/>
      <c r="H43" s="230">
        <f>$D$23</f>
        <v>14000</v>
      </c>
      <c r="I43" s="230"/>
      <c r="J43" s="230"/>
      <c r="K43" s="231">
        <f>$C$43-$H$43+$F$43+$O$43</f>
        <v>38084</v>
      </c>
      <c r="L43" s="231"/>
      <c r="M43" s="63">
        <f>SUM($K$43)/$D$9</f>
        <v>0.19042000000000001</v>
      </c>
      <c r="N43" s="64">
        <f>$G$36</f>
        <v>1359.7029326280706</v>
      </c>
      <c r="O43" s="103"/>
      <c r="P43" s="23"/>
      <c r="Q43" s="125"/>
    </row>
    <row r="44" spans="2:25" ht="24.75" customHeight="1">
      <c r="B44" s="65" t="s">
        <v>41</v>
      </c>
      <c r="C44" s="232">
        <f>SUM($E$10)</f>
        <v>326042</v>
      </c>
      <c r="D44" s="233"/>
      <c r="E44" s="66"/>
      <c r="F44" s="234">
        <f>$K$30</f>
        <v>0</v>
      </c>
      <c r="G44" s="235"/>
      <c r="H44" s="235">
        <f>$L$23</f>
        <v>28000</v>
      </c>
      <c r="I44" s="235"/>
      <c r="J44" s="235"/>
      <c r="K44" s="236">
        <f>$C$44-$H$44+$F$44+$O$44</f>
        <v>298042</v>
      </c>
      <c r="L44" s="236"/>
      <c r="M44" s="67">
        <f>SUM($K$44)/D10</f>
        <v>0.59608399999999995</v>
      </c>
      <c r="N44" s="68">
        <f>$G$37</f>
        <v>1808.4862028263096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5:C46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tabColor rgb="FFFFC000"/>
    <pageSetUpPr fitToPage="1"/>
  </sheetPr>
  <dimension ref="B1:Y124"/>
  <sheetViews>
    <sheetView showGridLines="0" topLeftCell="A28" zoomScaleNormal="100" workbookViewId="0">
      <selection activeCell="G45" sqref="G45:O45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SUM('0514'!$K$43:$L$43)</f>
        <v>38084</v>
      </c>
      <c r="F9" s="42">
        <f>SUM(E9)/D9</f>
        <v>0.19042000000000001</v>
      </c>
      <c r="G9" s="10">
        <f>SUM('0514'!$N$43)</f>
        <v>1359.7029326280706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SUM('0514'!$K$44:$L$44)</f>
        <v>298042</v>
      </c>
      <c r="F10" s="44">
        <f>SUM(E10)/D10</f>
        <v>0.59608399999999995</v>
      </c>
      <c r="G10" s="13">
        <f>SUM('0514'!$N$44)</f>
        <v>1808.4862028263096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110"/>
      <c r="L16" s="16"/>
      <c r="M16" s="37"/>
      <c r="N16" s="94" t="str">
        <f t="shared" ref="N16:N22" si="3">IF(L16="","",($G$10))</f>
        <v/>
      </c>
      <c r="O16" s="95" t="str">
        <f t="shared" ref="O16:O22" si="4">IF(L16="","",(SUM(M16)-N16))</f>
        <v/>
      </c>
      <c r="P16" s="96" t="str">
        <f t="shared" ref="P16:P22" si="5">IF(L16="","",(L16*O16))</f>
        <v/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36"/>
      <c r="L18" s="37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36"/>
      <c r="L19" s="37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0</v>
      </c>
      <c r="M23" s="92"/>
      <c r="N23" s="92"/>
      <c r="O23" s="92"/>
      <c r="P23" s="93">
        <f>SUM(P16:P22)</f>
        <v>0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38084</v>
      </c>
      <c r="D29" s="177"/>
      <c r="E29" s="178">
        <f>$G$9</f>
        <v>1359.7029326280706</v>
      </c>
      <c r="F29" s="178"/>
      <c r="G29" s="177">
        <f>C29*E29</f>
        <v>51782926.48620744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298042</v>
      </c>
      <c r="D30" s="174"/>
      <c r="E30" s="185">
        <f>$G$10</f>
        <v>1808.4862028263096</v>
      </c>
      <c r="F30" s="185"/>
      <c r="G30" s="174">
        <f>C30*E30</f>
        <v>539004844.86275899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38084</v>
      </c>
      <c r="D36" s="177"/>
      <c r="E36" s="177">
        <f>$G$29+$O$29</f>
        <v>51782926.48620744</v>
      </c>
      <c r="F36" s="177"/>
      <c r="G36" s="178">
        <f>E36/C36</f>
        <v>1359.7029326280706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298042</v>
      </c>
      <c r="D37" s="174"/>
      <c r="E37" s="174">
        <f>$G$30+$O$30</f>
        <v>539004844.86275899</v>
      </c>
      <c r="F37" s="174"/>
      <c r="G37" s="185">
        <f>E37/C37</f>
        <v>1808.4862028263096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38084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34025</v>
      </c>
      <c r="L43" s="231"/>
      <c r="M43" s="63">
        <f>SUM($K$43)/$D$9</f>
        <v>0.170125</v>
      </c>
      <c r="N43" s="64">
        <f>$G$36</f>
        <v>1359.7029326280706</v>
      </c>
      <c r="O43" s="103">
        <v>-4059</v>
      </c>
      <c r="P43" s="23"/>
      <c r="Q43" s="125"/>
    </row>
    <row r="44" spans="2:25" ht="24.75" customHeight="1">
      <c r="B44" s="65" t="s">
        <v>41</v>
      </c>
      <c r="C44" s="232">
        <f>SUM($E$10)</f>
        <v>298042</v>
      </c>
      <c r="D44" s="233"/>
      <c r="E44" s="66"/>
      <c r="F44" s="234">
        <f>$K$30</f>
        <v>0</v>
      </c>
      <c r="G44" s="235"/>
      <c r="H44" s="235">
        <f>$L$23</f>
        <v>0</v>
      </c>
      <c r="I44" s="235"/>
      <c r="J44" s="235"/>
      <c r="K44" s="236">
        <f>$C$44-$H$44+$F$44+$O$44</f>
        <v>292773</v>
      </c>
      <c r="L44" s="236"/>
      <c r="M44" s="67">
        <f>SUM($K$44)/D10</f>
        <v>0.58554600000000001</v>
      </c>
      <c r="N44" s="68">
        <f>$G$37</f>
        <v>1808.4862028263096</v>
      </c>
      <c r="O44" s="104">
        <v>-5269</v>
      </c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5:C46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tabColor rgb="FFFFFF00"/>
    <pageSetUpPr fitToPage="1"/>
  </sheetPr>
  <dimension ref="B1:Y124"/>
  <sheetViews>
    <sheetView showGridLines="0" topLeftCell="A13" zoomScaleNormal="100" workbookViewId="0">
      <selection activeCell="R36" sqref="R36:S36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SUM('0518 (증감처리)'!$K$43:$L$43)</f>
        <v>34025</v>
      </c>
      <c r="F9" s="42">
        <f>SUM(E9)/D9</f>
        <v>0.170125</v>
      </c>
      <c r="G9" s="10">
        <f>SUM('0518 (증감처리)'!$N$43)</f>
        <v>1359.7029326280706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SUM('0518 (증감처리)'!$K$44:$L$44)</f>
        <v>292773</v>
      </c>
      <c r="F10" s="44">
        <f>SUM(E10)/D10</f>
        <v>0.58554600000000001</v>
      </c>
      <c r="G10" s="13">
        <f>SUM('0518 (증감처리)'!$N$44)</f>
        <v>1808.4862028263096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110"/>
      <c r="L16" s="16"/>
      <c r="M16" s="37"/>
      <c r="N16" s="94" t="str">
        <f t="shared" ref="N16:N22" si="3">IF(L16="","",($G$10))</f>
        <v/>
      </c>
      <c r="O16" s="95" t="str">
        <f t="shared" ref="O16:O22" si="4">IF(L16="","",(SUM(M16)-N16))</f>
        <v/>
      </c>
      <c r="P16" s="96" t="str">
        <f t="shared" ref="P16:P22" si="5">IF(L16="","",(L16*O16))</f>
        <v/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36"/>
      <c r="L18" s="37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36"/>
      <c r="L19" s="37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0</v>
      </c>
      <c r="M23" s="92"/>
      <c r="N23" s="92"/>
      <c r="O23" s="92"/>
      <c r="P23" s="93">
        <f>SUM(P16:P22)</f>
        <v>0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34025</v>
      </c>
      <c r="D29" s="177"/>
      <c r="E29" s="178">
        <f>$G$9</f>
        <v>1359.7029326280706</v>
      </c>
      <c r="F29" s="178"/>
      <c r="G29" s="177">
        <f>C29*E29</f>
        <v>46263892.282670103</v>
      </c>
      <c r="H29" s="179"/>
      <c r="I29" s="17"/>
      <c r="J29" s="49" t="s">
        <v>9</v>
      </c>
      <c r="K29" s="180">
        <v>7981</v>
      </c>
      <c r="L29" s="181"/>
      <c r="M29" s="182">
        <v>1524.09716662803</v>
      </c>
      <c r="N29" s="183"/>
      <c r="O29" s="177">
        <f>K29*M29</f>
        <v>12163819.486858306</v>
      </c>
      <c r="P29" s="179"/>
      <c r="R29" s="18"/>
    </row>
    <row r="30" spans="2:18" ht="22.5" customHeight="1">
      <c r="B30" s="50" t="s">
        <v>11</v>
      </c>
      <c r="C30" s="184">
        <f>$E$10-$L$23</f>
        <v>292773</v>
      </c>
      <c r="D30" s="174"/>
      <c r="E30" s="185">
        <f>$G$10</f>
        <v>1808.4862028263096</v>
      </c>
      <c r="F30" s="185"/>
      <c r="G30" s="174">
        <f>C30*E30</f>
        <v>529475931.06006718</v>
      </c>
      <c r="H30" s="175"/>
      <c r="I30" s="17"/>
      <c r="J30" s="50" t="s">
        <v>11</v>
      </c>
      <c r="K30" s="186">
        <v>81624</v>
      </c>
      <c r="L30" s="187"/>
      <c r="M30" s="188">
        <v>1909.8342043555399</v>
      </c>
      <c r="N30" s="189"/>
      <c r="O30" s="174">
        <f>K30*M30</f>
        <v>155888307.09631658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42006</v>
      </c>
      <c r="D36" s="177"/>
      <c r="E36" s="177">
        <f>$G$29+$O$29</f>
        <v>58427711.769528411</v>
      </c>
      <c r="F36" s="177"/>
      <c r="G36" s="178">
        <f>E36/C36</f>
        <v>1390.9372891855546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374397</v>
      </c>
      <c r="D37" s="174"/>
      <c r="E37" s="174">
        <f>$G$30+$O$30</f>
        <v>685364238.15638375</v>
      </c>
      <c r="F37" s="174"/>
      <c r="G37" s="185">
        <f>E37/C37</f>
        <v>1830.5815435390341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34025</v>
      </c>
      <c r="D43" s="228"/>
      <c r="E43" s="62"/>
      <c r="F43" s="229">
        <f>$K$29</f>
        <v>7981</v>
      </c>
      <c r="G43" s="230"/>
      <c r="H43" s="230">
        <f>$D$23</f>
        <v>0</v>
      </c>
      <c r="I43" s="230"/>
      <c r="J43" s="230"/>
      <c r="K43" s="231">
        <f>$C$43-$H$43+$F$43+$O$43</f>
        <v>42006</v>
      </c>
      <c r="L43" s="231"/>
      <c r="M43" s="63">
        <f>SUM($K$43)/$D$9</f>
        <v>0.21002999999999999</v>
      </c>
      <c r="N43" s="64">
        <f>$G$36</f>
        <v>1390.9372891855546</v>
      </c>
      <c r="O43" s="103"/>
      <c r="P43" s="23"/>
      <c r="Q43" s="125"/>
    </row>
    <row r="44" spans="2:25" ht="24.75" customHeight="1">
      <c r="B44" s="65" t="s">
        <v>41</v>
      </c>
      <c r="C44" s="232">
        <f>SUM($E$10)</f>
        <v>292773</v>
      </c>
      <c r="D44" s="233"/>
      <c r="E44" s="66"/>
      <c r="F44" s="234">
        <f>$K$30</f>
        <v>81624</v>
      </c>
      <c r="G44" s="235"/>
      <c r="H44" s="235">
        <f>$L$23</f>
        <v>0</v>
      </c>
      <c r="I44" s="235"/>
      <c r="J44" s="235"/>
      <c r="K44" s="236">
        <f>$C$44-$H$44+$F$44+$O$44</f>
        <v>374397</v>
      </c>
      <c r="L44" s="236"/>
      <c r="M44" s="67">
        <f>SUM($K$44)/D10</f>
        <v>0.74879399999999996</v>
      </c>
      <c r="N44" s="68">
        <f>$G$37</f>
        <v>1830.5815435390341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5:C46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pageSetUpPr fitToPage="1"/>
  </sheetPr>
  <dimension ref="B1:Y124"/>
  <sheetViews>
    <sheetView showGridLines="0" topLeftCell="A14" zoomScaleNormal="100" workbookViewId="0">
      <selection activeCell="K47" sqref="K47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SUM('0519 (입고)'!$K$43:$L$43)</f>
        <v>42006</v>
      </c>
      <c r="F9" s="42">
        <f>SUM(E9)/D9</f>
        <v>0.21002999999999999</v>
      </c>
      <c r="G9" s="10">
        <f>SUM('0519 (입고)'!$N$43)</f>
        <v>1390.9372891855546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SUM('0519 (입고)'!$K$44:$L$44)</f>
        <v>374397</v>
      </c>
      <c r="F10" s="44">
        <f>SUM(E10)/D10</f>
        <v>0.74879399999999996</v>
      </c>
      <c r="G10" s="13">
        <f>SUM('0519 (입고)'!$N$44)</f>
        <v>1830.5815435390341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 t="s">
        <v>51</v>
      </c>
      <c r="D16" s="37">
        <v>7981</v>
      </c>
      <c r="E16" s="37"/>
      <c r="F16" s="77">
        <f t="shared" ref="F16:F22" si="0">IF(D16="","",(SUM($G$9)))</f>
        <v>1390.9372891855546</v>
      </c>
      <c r="G16" s="78">
        <f t="shared" ref="G16:G22" si="1">IF(D16="","",(SUM(E16)-F16))</f>
        <v>-1390.9372891855546</v>
      </c>
      <c r="H16" s="79">
        <f t="shared" ref="H16:H22" si="2">IF(D16="","",(D16*G16))</f>
        <v>-11101070.504989911</v>
      </c>
      <c r="I16" s="17"/>
      <c r="J16" s="159" t="s">
        <v>22</v>
      </c>
      <c r="K16" s="110" t="s">
        <v>51</v>
      </c>
      <c r="L16" s="16">
        <v>3980</v>
      </c>
      <c r="M16" s="37"/>
      <c r="N16" s="94">
        <f t="shared" ref="N16:N22" si="3">IF(L16="","",($G$10))</f>
        <v>1830.5815435390341</v>
      </c>
      <c r="O16" s="95">
        <f t="shared" ref="O16:O22" si="4">IF(L16="","",(SUM(M16)-N16))</f>
        <v>-1830.5815435390341</v>
      </c>
      <c r="P16" s="96">
        <f t="shared" ref="P16:P22" si="5">IF(L16="","",(L16*O16))</f>
        <v>-7285714.5432853559</v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 t="s">
        <v>73</v>
      </c>
      <c r="L17" s="16">
        <v>15917</v>
      </c>
      <c r="M17" s="16"/>
      <c r="N17" s="97">
        <f t="shared" si="3"/>
        <v>1830.5815435390341</v>
      </c>
      <c r="O17" s="98">
        <f t="shared" si="4"/>
        <v>-1830.5815435390341</v>
      </c>
      <c r="P17" s="99">
        <f t="shared" si="5"/>
        <v>-29137366.428510807</v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36" t="s">
        <v>82</v>
      </c>
      <c r="L18" s="37">
        <v>11927</v>
      </c>
      <c r="M18" s="16"/>
      <c r="N18" s="97">
        <f t="shared" si="3"/>
        <v>1830.5815435390341</v>
      </c>
      <c r="O18" s="98">
        <f t="shared" si="4"/>
        <v>-1830.5815435390341</v>
      </c>
      <c r="P18" s="99">
        <f t="shared" si="5"/>
        <v>-21833346.069790062</v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36" t="s">
        <v>88</v>
      </c>
      <c r="L19" s="37">
        <v>17890</v>
      </c>
      <c r="M19" s="16"/>
      <c r="N19" s="97">
        <f t="shared" si="3"/>
        <v>1830.5815435390341</v>
      </c>
      <c r="O19" s="98">
        <f t="shared" si="4"/>
        <v>-1830.5815435390341</v>
      </c>
      <c r="P19" s="99">
        <f t="shared" si="5"/>
        <v>-32749103.813913319</v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 t="s">
        <v>81</v>
      </c>
      <c r="L20" s="16">
        <v>31910</v>
      </c>
      <c r="M20" s="16"/>
      <c r="N20" s="97">
        <f t="shared" si="3"/>
        <v>1830.5815435390341</v>
      </c>
      <c r="O20" s="98">
        <f t="shared" si="4"/>
        <v>-1830.5815435390341</v>
      </c>
      <c r="P20" s="99">
        <f t="shared" si="5"/>
        <v>-58413857.05433058</v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7981</v>
      </c>
      <c r="E23" s="75"/>
      <c r="F23" s="75"/>
      <c r="G23" s="75"/>
      <c r="H23" s="76">
        <f>SUM(H16:H22)</f>
        <v>-11101070.504989911</v>
      </c>
      <c r="I23" s="106"/>
      <c r="J23" s="89" t="s">
        <v>24</v>
      </c>
      <c r="K23" s="90"/>
      <c r="L23" s="91">
        <f>SUM(L16:L22)</f>
        <v>81624</v>
      </c>
      <c r="M23" s="92"/>
      <c r="N23" s="92"/>
      <c r="O23" s="92"/>
      <c r="P23" s="93">
        <f>SUM(P16:P22)</f>
        <v>-149419387.90983012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34025</v>
      </c>
      <c r="D29" s="177"/>
      <c r="E29" s="178">
        <f>$G$9</f>
        <v>1390.9372891855546</v>
      </c>
      <c r="F29" s="178"/>
      <c r="G29" s="177">
        <f>C29*E29</f>
        <v>47326641.264538497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292773</v>
      </c>
      <c r="D30" s="174"/>
      <c r="E30" s="185">
        <f>$G$10</f>
        <v>1830.5815435390341</v>
      </c>
      <c r="F30" s="185"/>
      <c r="G30" s="174">
        <f>C30*E30</f>
        <v>535944850.24655366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34025</v>
      </c>
      <c r="D36" s="177"/>
      <c r="E36" s="177">
        <f>$G$29+$O$29</f>
        <v>47326641.264538497</v>
      </c>
      <c r="F36" s="177"/>
      <c r="G36" s="178">
        <f>E36/C36</f>
        <v>1390.9372891855546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292773</v>
      </c>
      <c r="D37" s="174"/>
      <c r="E37" s="174">
        <f>$G$30+$O$30</f>
        <v>535944850.24655366</v>
      </c>
      <c r="F37" s="174"/>
      <c r="G37" s="185">
        <f>E37/C37</f>
        <v>1830.5815435390341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42006</v>
      </c>
      <c r="D43" s="228"/>
      <c r="E43" s="62"/>
      <c r="F43" s="229">
        <f>$K$29</f>
        <v>0</v>
      </c>
      <c r="G43" s="230"/>
      <c r="H43" s="230">
        <f>$D$23</f>
        <v>7981</v>
      </c>
      <c r="I43" s="230"/>
      <c r="J43" s="230"/>
      <c r="K43" s="231">
        <f>$C$43-$H$43+$F$43+$O$43</f>
        <v>34025</v>
      </c>
      <c r="L43" s="231"/>
      <c r="M43" s="63">
        <f>SUM($K$43)/$D$9</f>
        <v>0.170125</v>
      </c>
      <c r="N43" s="64">
        <f>$G$36</f>
        <v>1390.9372891855546</v>
      </c>
      <c r="O43" s="103"/>
      <c r="P43" s="23"/>
      <c r="Q43" s="125"/>
    </row>
    <row r="44" spans="2:25" ht="24.75" customHeight="1">
      <c r="B44" s="65" t="s">
        <v>41</v>
      </c>
      <c r="C44" s="232">
        <f>SUM($E$10)</f>
        <v>374397</v>
      </c>
      <c r="D44" s="233"/>
      <c r="E44" s="66"/>
      <c r="F44" s="234">
        <f>$K$30</f>
        <v>0</v>
      </c>
      <c r="G44" s="235"/>
      <c r="H44" s="235">
        <f>$L$23</f>
        <v>81624</v>
      </c>
      <c r="I44" s="235"/>
      <c r="J44" s="235"/>
      <c r="K44" s="236">
        <f>$C$44-$H$44+$F$44+$O$44</f>
        <v>292773</v>
      </c>
      <c r="L44" s="236"/>
      <c r="M44" s="67">
        <f>SUM($K$44)/D10</f>
        <v>0.58554600000000001</v>
      </c>
      <c r="N44" s="68">
        <f>$G$37</f>
        <v>1830.5815435390341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5:C46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tabColor rgb="FFFFFF00"/>
    <pageSetUpPr fitToPage="1"/>
  </sheetPr>
  <dimension ref="B1:Y124"/>
  <sheetViews>
    <sheetView showGridLines="0" topLeftCell="A21" zoomScaleNormal="100" workbookViewId="0">
      <selection activeCell="Q35" sqref="Q35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SUM('0519'!$K$43:$L$43)</f>
        <v>34025</v>
      </c>
      <c r="F9" s="42">
        <f>SUM(E9)/D9</f>
        <v>0.170125</v>
      </c>
      <c r="G9" s="10">
        <f>SUM('0519'!$N$43)</f>
        <v>1390.9372891855546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SUM('0519'!$K$44:$L$44)</f>
        <v>292773</v>
      </c>
      <c r="F10" s="44">
        <f>SUM(E10)/D10</f>
        <v>0.58554600000000001</v>
      </c>
      <c r="G10" s="13">
        <f>SUM('0519'!$N$44)</f>
        <v>1830.5815435390341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110"/>
      <c r="L16" s="16"/>
      <c r="M16" s="37"/>
      <c r="N16" s="94" t="str">
        <f t="shared" ref="N16:N22" si="3">IF(L16="","",($G$10))</f>
        <v/>
      </c>
      <c r="O16" s="95" t="str">
        <f t="shared" ref="O16:O22" si="4">IF(L16="","",(SUM(M16)-N16))</f>
        <v/>
      </c>
      <c r="P16" s="96" t="str">
        <f t="shared" ref="P16:P22" si="5">IF(L16="","",(L16*O16))</f>
        <v/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36"/>
      <c r="L18" s="37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36"/>
      <c r="L19" s="37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0</v>
      </c>
      <c r="M23" s="92"/>
      <c r="N23" s="92"/>
      <c r="O23" s="92"/>
      <c r="P23" s="93">
        <f>SUM(P16:P22)</f>
        <v>0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34025</v>
      </c>
      <c r="D29" s="177"/>
      <c r="E29" s="178">
        <f>$G$9</f>
        <v>1390.9372891855546</v>
      </c>
      <c r="F29" s="178"/>
      <c r="G29" s="177">
        <f>C29*E29</f>
        <v>47326641.264538497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292773</v>
      </c>
      <c r="D30" s="174"/>
      <c r="E30" s="185">
        <f>$G$10</f>
        <v>1830.5815435390341</v>
      </c>
      <c r="F30" s="185"/>
      <c r="G30" s="174">
        <f>C30*E30</f>
        <v>535944850.24655366</v>
      </c>
      <c r="H30" s="175"/>
      <c r="I30" s="17"/>
      <c r="J30" s="50" t="s">
        <v>11</v>
      </c>
      <c r="K30" s="186">
        <v>267856</v>
      </c>
      <c r="L30" s="187"/>
      <c r="M30" s="188">
        <v>1917.09716662803</v>
      </c>
      <c r="N30" s="189"/>
      <c r="O30" s="174">
        <f>K30*M30</f>
        <v>513505978.66431761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34025</v>
      </c>
      <c r="D36" s="177"/>
      <c r="E36" s="177">
        <f>$G$29+$O$29</f>
        <v>47326641.264538497</v>
      </c>
      <c r="F36" s="177"/>
      <c r="G36" s="178">
        <f>E36/C36</f>
        <v>1390.9372891855546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560629</v>
      </c>
      <c r="D37" s="174"/>
      <c r="E37" s="174">
        <f>$G$30+$O$30</f>
        <v>1049450828.9108713</v>
      </c>
      <c r="F37" s="174"/>
      <c r="G37" s="185">
        <f>E37/C37</f>
        <v>1871.9167736789771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34025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34025</v>
      </c>
      <c r="L43" s="231"/>
      <c r="M43" s="63">
        <f>SUM($K$43)/$D$9</f>
        <v>0.170125</v>
      </c>
      <c r="N43" s="64">
        <f>$G$36</f>
        <v>1390.9372891855546</v>
      </c>
      <c r="O43" s="103"/>
      <c r="P43" s="23"/>
      <c r="Q43" s="125"/>
    </row>
    <row r="44" spans="2:25" ht="24.75" customHeight="1">
      <c r="B44" s="65" t="s">
        <v>41</v>
      </c>
      <c r="C44" s="232">
        <f>SUM($E$10)</f>
        <v>292773</v>
      </c>
      <c r="D44" s="233"/>
      <c r="E44" s="66"/>
      <c r="F44" s="234">
        <f>$K$30</f>
        <v>267856</v>
      </c>
      <c r="G44" s="235"/>
      <c r="H44" s="235">
        <f>$L$23</f>
        <v>0</v>
      </c>
      <c r="I44" s="235"/>
      <c r="J44" s="235"/>
      <c r="K44" s="236">
        <f>$C$44-$H$44+$F$44+$O$44</f>
        <v>560629</v>
      </c>
      <c r="L44" s="236"/>
      <c r="M44" s="67">
        <f>SUM($K$44)/D10</f>
        <v>1.1212580000000001</v>
      </c>
      <c r="N44" s="68">
        <f>$G$37</f>
        <v>1871.9167736789771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5:C46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pageSetUpPr fitToPage="1"/>
  </sheetPr>
  <dimension ref="B1:Y124"/>
  <sheetViews>
    <sheetView showGridLines="0" topLeftCell="A12" zoomScaleNormal="100" workbookViewId="0">
      <selection activeCell="S17" sqref="S17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SUM('0520 (입고)'!$K$43:$L$43)</f>
        <v>34025</v>
      </c>
      <c r="F9" s="42">
        <f>SUM(E9)/D9</f>
        <v>0.170125</v>
      </c>
      <c r="G9" s="10">
        <f>SUM('0520 (입고)'!$N$43)</f>
        <v>1390.9372891855546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SUM('0520 (입고)'!$K$44:$L$44)</f>
        <v>560629</v>
      </c>
      <c r="F10" s="44">
        <f>SUM(E10)/D10</f>
        <v>1.1212580000000001</v>
      </c>
      <c r="G10" s="13">
        <f>SUM('0520 (입고)'!$N$44)</f>
        <v>1871.9167736789771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110" t="s">
        <v>89</v>
      </c>
      <c r="L16" s="16">
        <v>64000</v>
      </c>
      <c r="M16" s="37"/>
      <c r="N16" s="94">
        <f t="shared" ref="N16:N22" si="3">IF(L16="","",($G$10))</f>
        <v>1871.9167736789771</v>
      </c>
      <c r="O16" s="95">
        <f t="shared" ref="O16:O22" si="4">IF(L16="","",(SUM(M16)-N16))</f>
        <v>-1871.9167736789771</v>
      </c>
      <c r="P16" s="96">
        <f t="shared" ref="P16:P22" si="5">IF(L16="","",(L16*O16))</f>
        <v>-119802673.51545453</v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 t="s">
        <v>81</v>
      </c>
      <c r="L17" s="16">
        <v>63856</v>
      </c>
      <c r="M17" s="16"/>
      <c r="N17" s="97">
        <f t="shared" si="3"/>
        <v>1871.9167736789771</v>
      </c>
      <c r="O17" s="98">
        <f t="shared" si="4"/>
        <v>-1871.9167736789771</v>
      </c>
      <c r="P17" s="99">
        <f t="shared" si="5"/>
        <v>-119533117.50004476</v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36" t="s">
        <v>75</v>
      </c>
      <c r="L18" s="37">
        <v>84000</v>
      </c>
      <c r="M18" s="16"/>
      <c r="N18" s="97">
        <f t="shared" si="3"/>
        <v>1871.9167736789771</v>
      </c>
      <c r="O18" s="98">
        <f t="shared" si="4"/>
        <v>-1871.9167736789771</v>
      </c>
      <c r="P18" s="99">
        <f t="shared" si="5"/>
        <v>-157241008.98903409</v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36" t="s">
        <v>49</v>
      </c>
      <c r="L19" s="37">
        <v>56000</v>
      </c>
      <c r="M19" s="16"/>
      <c r="N19" s="97">
        <f t="shared" si="3"/>
        <v>1871.9167736789771</v>
      </c>
      <c r="O19" s="98">
        <f t="shared" si="4"/>
        <v>-1871.9167736789771</v>
      </c>
      <c r="P19" s="99">
        <f t="shared" si="5"/>
        <v>-104827339.32602271</v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267856</v>
      </c>
      <c r="M23" s="92"/>
      <c r="N23" s="92"/>
      <c r="O23" s="92"/>
      <c r="P23" s="93">
        <f>SUM(P16:P22)</f>
        <v>-501404139.33055615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34025</v>
      </c>
      <c r="D29" s="177"/>
      <c r="E29" s="178">
        <f>$G$9</f>
        <v>1390.9372891855546</v>
      </c>
      <c r="F29" s="178"/>
      <c r="G29" s="177">
        <f>C29*E29</f>
        <v>47326641.264538497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292773</v>
      </c>
      <c r="D30" s="174"/>
      <c r="E30" s="185">
        <f>$G$10</f>
        <v>1871.9167736789771</v>
      </c>
      <c r="F30" s="185"/>
      <c r="G30" s="174">
        <f>C30*E30</f>
        <v>548046689.58031511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34025</v>
      </c>
      <c r="D36" s="177"/>
      <c r="E36" s="177">
        <f>$G$29+$O$29</f>
        <v>47326641.264538497</v>
      </c>
      <c r="F36" s="177"/>
      <c r="G36" s="178">
        <f>E36/C36</f>
        <v>1390.9372891855546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292773</v>
      </c>
      <c r="D37" s="174"/>
      <c r="E37" s="174">
        <f>$G$30+$O$30</f>
        <v>548046689.58031511</v>
      </c>
      <c r="F37" s="174"/>
      <c r="G37" s="185">
        <f>E37/C37</f>
        <v>1871.9167736789768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34025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34025</v>
      </c>
      <c r="L43" s="231"/>
      <c r="M43" s="63">
        <f>SUM($K$43)/$D$9</f>
        <v>0.170125</v>
      </c>
      <c r="N43" s="64">
        <f>$G$36</f>
        <v>1390.9372891855546</v>
      </c>
      <c r="O43" s="103"/>
      <c r="P43" s="23"/>
      <c r="Q43" s="125"/>
    </row>
    <row r="44" spans="2:25" ht="24.75" customHeight="1">
      <c r="B44" s="65" t="s">
        <v>41</v>
      </c>
      <c r="C44" s="232">
        <f>SUM($E$10)</f>
        <v>560629</v>
      </c>
      <c r="D44" s="233"/>
      <c r="E44" s="66"/>
      <c r="F44" s="234">
        <f>$K$30</f>
        <v>0</v>
      </c>
      <c r="G44" s="235"/>
      <c r="H44" s="235">
        <f>$L$23</f>
        <v>267856</v>
      </c>
      <c r="I44" s="235"/>
      <c r="J44" s="235"/>
      <c r="K44" s="236">
        <f>$C$44-$H$44+$F$44+$O$44</f>
        <v>292773</v>
      </c>
      <c r="L44" s="236"/>
      <c r="M44" s="67">
        <f>SUM($K$44)/D10</f>
        <v>0.58554600000000001</v>
      </c>
      <c r="N44" s="68">
        <f>$G$37</f>
        <v>1871.9167736789768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5:C46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tabColor rgb="FFFFFF00"/>
    <pageSetUpPr fitToPage="1"/>
  </sheetPr>
  <dimension ref="B1:Y124"/>
  <sheetViews>
    <sheetView showGridLines="0" topLeftCell="A27" zoomScaleNormal="100" workbookViewId="0">
      <selection activeCell="R46" sqref="R46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SUM('0520'!$K$43:$L$43)</f>
        <v>34025</v>
      </c>
      <c r="F9" s="42">
        <f>SUM(E9)/D9</f>
        <v>0.170125</v>
      </c>
      <c r="G9" s="10">
        <f>SUM('0520'!$N$43)</f>
        <v>1390.9372891855546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SUM('0520'!$K$44:$L$44)</f>
        <v>292773</v>
      </c>
      <c r="F10" s="44">
        <f>SUM(E10)/D10</f>
        <v>0.58554600000000001</v>
      </c>
      <c r="G10" s="13">
        <f>SUM('0520'!$N$44)</f>
        <v>1871.9167736789768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110"/>
      <c r="L16" s="16"/>
      <c r="M16" s="37"/>
      <c r="N16" s="94" t="str">
        <f t="shared" ref="N16:N22" si="3">IF(L16="","",($G$10))</f>
        <v/>
      </c>
      <c r="O16" s="95" t="str">
        <f t="shared" ref="O16:O22" si="4">IF(L16="","",(SUM(M16)-N16))</f>
        <v/>
      </c>
      <c r="P16" s="96" t="str">
        <f t="shared" ref="P16:P22" si="5">IF(L16="","",(L16*O16))</f>
        <v/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36"/>
      <c r="L18" s="37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36"/>
      <c r="L19" s="37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0</v>
      </c>
      <c r="M23" s="92"/>
      <c r="N23" s="92"/>
      <c r="O23" s="92"/>
      <c r="P23" s="93">
        <f>SUM(P16:P22)</f>
        <v>0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34025</v>
      </c>
      <c r="D29" s="177"/>
      <c r="E29" s="178">
        <f>$G$9</f>
        <v>1390.9372891855546</v>
      </c>
      <c r="F29" s="178"/>
      <c r="G29" s="177">
        <f>C29*E29</f>
        <v>47326641.264538497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292773</v>
      </c>
      <c r="D30" s="174"/>
      <c r="E30" s="185">
        <f>$G$10</f>
        <v>1871.9167736789768</v>
      </c>
      <c r="F30" s="185"/>
      <c r="G30" s="174">
        <f>C30*E30</f>
        <v>548046689.58031511</v>
      </c>
      <c r="H30" s="175"/>
      <c r="I30" s="17"/>
      <c r="J30" s="50" t="s">
        <v>11</v>
      </c>
      <c r="K30" s="186">
        <v>83885</v>
      </c>
      <c r="L30" s="187"/>
      <c r="M30" s="188">
        <v>1910.4753260520399</v>
      </c>
      <c r="N30" s="189"/>
      <c r="O30" s="174">
        <f>K30*M30</f>
        <v>160260222.72587538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34025</v>
      </c>
      <c r="D36" s="177"/>
      <c r="E36" s="177">
        <f>$G$29+$O$29</f>
        <v>47326641.264538497</v>
      </c>
      <c r="F36" s="177"/>
      <c r="G36" s="178">
        <f>E36/C36</f>
        <v>1390.9372891855546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376658</v>
      </c>
      <c r="D37" s="174"/>
      <c r="E37" s="174">
        <f>$G$30+$O$30</f>
        <v>708306912.30619049</v>
      </c>
      <c r="F37" s="174"/>
      <c r="G37" s="185">
        <f>E37/C37</f>
        <v>1880.5040973673479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34025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34025</v>
      </c>
      <c r="L43" s="231"/>
      <c r="M43" s="63">
        <f>SUM($K$43)/$D$9</f>
        <v>0.170125</v>
      </c>
      <c r="N43" s="64">
        <f>$G$36</f>
        <v>1390.9372891855546</v>
      </c>
      <c r="O43" s="103"/>
      <c r="P43" s="23"/>
      <c r="Q43" s="125"/>
    </row>
    <row r="44" spans="2:25" ht="24.75" customHeight="1">
      <c r="B44" s="65" t="s">
        <v>41</v>
      </c>
      <c r="C44" s="232">
        <f>SUM($E$10)</f>
        <v>292773</v>
      </c>
      <c r="D44" s="233"/>
      <c r="E44" s="66"/>
      <c r="F44" s="234">
        <f>$K$30</f>
        <v>83885</v>
      </c>
      <c r="G44" s="235"/>
      <c r="H44" s="235">
        <f>$L$23</f>
        <v>0</v>
      </c>
      <c r="I44" s="235"/>
      <c r="J44" s="235"/>
      <c r="K44" s="236">
        <f>$C$44-$H$44+$F$44+$O$44</f>
        <v>376658</v>
      </c>
      <c r="L44" s="236"/>
      <c r="M44" s="67">
        <f>SUM($K$44)/D10</f>
        <v>0.75331599999999999</v>
      </c>
      <c r="N44" s="68">
        <f>$G$37</f>
        <v>1880.5040973673479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pageSetUpPr fitToPage="1"/>
  </sheetPr>
  <dimension ref="B1:Y124"/>
  <sheetViews>
    <sheetView showGridLines="0" topLeftCell="A31" zoomScaleNormal="100" workbookViewId="0">
      <selection activeCell="R34" sqref="R34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SUM('0521 (입고)'!$K$43:$L$43)</f>
        <v>34025</v>
      </c>
      <c r="F9" s="42">
        <f>SUM(E9)/D9</f>
        <v>0.170125</v>
      </c>
      <c r="G9" s="10">
        <f>SUM('0521 (입고)'!$N$43)</f>
        <v>1390.9372891855546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SUM('0521 (입고)'!$K$44:$L$44)</f>
        <v>376658</v>
      </c>
      <c r="F10" s="44">
        <f>SUM(E10)/D10</f>
        <v>0.75331599999999999</v>
      </c>
      <c r="G10" s="13">
        <f>SUM('0521 (입고)'!$N$44)</f>
        <v>1880.5040973673479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110" t="s">
        <v>67</v>
      </c>
      <c r="L16" s="16">
        <v>28000</v>
      </c>
      <c r="M16" s="37"/>
      <c r="N16" s="94">
        <f t="shared" ref="N16:N22" si="3">IF(L16="","",($G$10))</f>
        <v>1880.5040973673479</v>
      </c>
      <c r="O16" s="95">
        <f t="shared" ref="O16:O22" si="4">IF(L16="","",(SUM(M16)-N16))</f>
        <v>-1880.5040973673479</v>
      </c>
      <c r="P16" s="96">
        <f t="shared" ref="P16:P22" si="5">IF(L16="","",(L16*O16))</f>
        <v>-52654114.726285741</v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 t="s">
        <v>75</v>
      </c>
      <c r="L17" s="16">
        <v>28000</v>
      </c>
      <c r="M17" s="16"/>
      <c r="N17" s="97">
        <f t="shared" si="3"/>
        <v>1880.5040973673479</v>
      </c>
      <c r="O17" s="98">
        <f t="shared" si="4"/>
        <v>-1880.5040973673479</v>
      </c>
      <c r="P17" s="99">
        <f t="shared" si="5"/>
        <v>-52654114.726285741</v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36" t="s">
        <v>51</v>
      </c>
      <c r="L18" s="37">
        <v>23954</v>
      </c>
      <c r="M18" s="16"/>
      <c r="N18" s="97">
        <f t="shared" si="3"/>
        <v>1880.5040973673479</v>
      </c>
      <c r="O18" s="98">
        <f t="shared" si="4"/>
        <v>-1880.5040973673479</v>
      </c>
      <c r="P18" s="99">
        <f t="shared" si="5"/>
        <v>-45045595.148337454</v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36" t="s">
        <v>73</v>
      </c>
      <c r="L19" s="37">
        <v>3993</v>
      </c>
      <c r="M19" s="16"/>
      <c r="N19" s="97">
        <f t="shared" si="3"/>
        <v>1880.5040973673479</v>
      </c>
      <c r="O19" s="98">
        <f t="shared" si="4"/>
        <v>-1880.5040973673479</v>
      </c>
      <c r="P19" s="99">
        <f t="shared" si="5"/>
        <v>-7508852.8607878201</v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83947</v>
      </c>
      <c r="M23" s="92"/>
      <c r="N23" s="92"/>
      <c r="O23" s="92"/>
      <c r="P23" s="93">
        <f>SUM(P16:P22)</f>
        <v>-157862677.46169674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34025</v>
      </c>
      <c r="D29" s="177"/>
      <c r="E29" s="178">
        <f>$G$9</f>
        <v>1390.9372891855546</v>
      </c>
      <c r="F29" s="178"/>
      <c r="G29" s="177">
        <f>C29*E29</f>
        <v>47326641.264538497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292711</v>
      </c>
      <c r="D30" s="174"/>
      <c r="E30" s="185">
        <f>$G$10</f>
        <v>1880.5040973673479</v>
      </c>
      <c r="F30" s="185"/>
      <c r="G30" s="174">
        <f>C30*E30</f>
        <v>550444234.84449375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34025</v>
      </c>
      <c r="D36" s="177"/>
      <c r="E36" s="177">
        <f>$G$29+$O$29</f>
        <v>47326641.264538497</v>
      </c>
      <c r="F36" s="177"/>
      <c r="G36" s="178">
        <f>E36/C36</f>
        <v>1390.9372891855546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292711</v>
      </c>
      <c r="D37" s="174"/>
      <c r="E37" s="174">
        <f>$G$30+$O$30</f>
        <v>550444234.84449375</v>
      </c>
      <c r="F37" s="174"/>
      <c r="G37" s="185">
        <f>E37/C37</f>
        <v>1880.5040973673479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34025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34025</v>
      </c>
      <c r="L43" s="231"/>
      <c r="M43" s="63">
        <f>SUM($K$43)/$D$9</f>
        <v>0.170125</v>
      </c>
      <c r="N43" s="64">
        <f>$G$36</f>
        <v>1390.9372891855546</v>
      </c>
      <c r="O43" s="103"/>
      <c r="P43" s="23"/>
      <c r="Q43" s="125"/>
    </row>
    <row r="44" spans="2:25" ht="24.75" customHeight="1">
      <c r="B44" s="65" t="s">
        <v>41</v>
      </c>
      <c r="C44" s="232">
        <f>SUM($E$10)</f>
        <v>376658</v>
      </c>
      <c r="D44" s="233"/>
      <c r="E44" s="66"/>
      <c r="F44" s="234">
        <f>$K$30</f>
        <v>0</v>
      </c>
      <c r="G44" s="235"/>
      <c r="H44" s="235">
        <f>$L$23</f>
        <v>83947</v>
      </c>
      <c r="I44" s="235"/>
      <c r="J44" s="235"/>
      <c r="K44" s="236">
        <f>$C$44-$H$44+$F$44+$O$44</f>
        <v>292711</v>
      </c>
      <c r="L44" s="236"/>
      <c r="M44" s="67">
        <f>SUM($K$44)/D10</f>
        <v>0.585422</v>
      </c>
      <c r="N44" s="68">
        <f>$G$37</f>
        <v>1880.5040973673479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pageSetUpPr fitToPage="1"/>
  </sheetPr>
  <dimension ref="B1:Y124"/>
  <sheetViews>
    <sheetView showGridLines="0" topLeftCell="A28" zoomScaleNormal="100" workbookViewId="0">
      <selection activeCell="L17" sqref="L17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SUM('0521'!$K$43:$L$43)</f>
        <v>34025</v>
      </c>
      <c r="F9" s="42">
        <f>SUM(E9)/D9</f>
        <v>0.170125</v>
      </c>
      <c r="G9" s="10">
        <f>SUM('0521'!$N$43)</f>
        <v>1390.9372891855546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SUM('0521'!$K$44:$L$44)</f>
        <v>292711</v>
      </c>
      <c r="F10" s="44">
        <f>SUM(E10)/D10</f>
        <v>0.585422</v>
      </c>
      <c r="G10" s="13">
        <f>SUM('0521'!$N$44)</f>
        <v>1880.5040973673479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 t="s">
        <v>61</v>
      </c>
      <c r="D16" s="37">
        <v>3000</v>
      </c>
      <c r="E16" s="37"/>
      <c r="F16" s="77">
        <f t="shared" ref="F16:F22" si="0">IF(D16="","",(SUM($G$9)))</f>
        <v>1390.9372891855546</v>
      </c>
      <c r="G16" s="78">
        <f t="shared" ref="G16:G22" si="1">IF(D16="","",(SUM(E16)-F16))</f>
        <v>-1390.9372891855546</v>
      </c>
      <c r="H16" s="79">
        <f t="shared" ref="H16:H22" si="2">IF(D16="","",(D16*G16))</f>
        <v>-4172811.8675566637</v>
      </c>
      <c r="I16" s="17"/>
      <c r="J16" s="159" t="s">
        <v>22</v>
      </c>
      <c r="K16" s="110" t="s">
        <v>43</v>
      </c>
      <c r="L16" s="16">
        <v>3000</v>
      </c>
      <c r="M16" s="37"/>
      <c r="N16" s="94">
        <f t="shared" ref="N16:N22" si="3">IF(L16="","",($G$10))</f>
        <v>1880.5040973673479</v>
      </c>
      <c r="O16" s="95">
        <f t="shared" ref="O16:O22" si="4">IF(L16="","",(SUM(M16)-N16))</f>
        <v>-1880.5040973673479</v>
      </c>
      <c r="P16" s="96">
        <f t="shared" ref="P16:P22" si="5">IF(L16="","",(L16*O16))</f>
        <v>-5641512.2921020435</v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36"/>
      <c r="L18" s="37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36"/>
      <c r="L19" s="37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3000</v>
      </c>
      <c r="E23" s="75"/>
      <c r="F23" s="75"/>
      <c r="G23" s="75"/>
      <c r="H23" s="76">
        <f>SUM(H16:H22)</f>
        <v>-4172811.8675566637</v>
      </c>
      <c r="I23" s="106"/>
      <c r="J23" s="89" t="s">
        <v>24</v>
      </c>
      <c r="K23" s="90"/>
      <c r="L23" s="91">
        <f>SUM(L16:L22)</f>
        <v>3000</v>
      </c>
      <c r="M23" s="92"/>
      <c r="N23" s="92"/>
      <c r="O23" s="92"/>
      <c r="P23" s="93">
        <f>SUM(P16:P22)</f>
        <v>-5641512.2921020435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31025</v>
      </c>
      <c r="D29" s="177"/>
      <c r="E29" s="178">
        <f>$G$9</f>
        <v>1390.9372891855546</v>
      </c>
      <c r="F29" s="178"/>
      <c r="G29" s="177">
        <f>C29*E29</f>
        <v>43153829.396981835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289711</v>
      </c>
      <c r="D30" s="174"/>
      <c r="E30" s="185">
        <f>$G$10</f>
        <v>1880.5040973673479</v>
      </c>
      <c r="F30" s="185"/>
      <c r="G30" s="174">
        <f>C30*E30</f>
        <v>544802722.55239177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31025</v>
      </c>
      <c r="D36" s="177"/>
      <c r="E36" s="177">
        <f>$G$29+$O$29</f>
        <v>43153829.396981835</v>
      </c>
      <c r="F36" s="177"/>
      <c r="G36" s="178">
        <f>E36/C36</f>
        <v>1390.9372891855546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289711</v>
      </c>
      <c r="D37" s="174"/>
      <c r="E37" s="174">
        <f>$G$30+$O$30</f>
        <v>544802722.55239177</v>
      </c>
      <c r="F37" s="174"/>
      <c r="G37" s="185">
        <f>E37/C37</f>
        <v>1880.5040973673481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34025</v>
      </c>
      <c r="D43" s="228"/>
      <c r="E43" s="62"/>
      <c r="F43" s="229">
        <f>$K$29</f>
        <v>0</v>
      </c>
      <c r="G43" s="230"/>
      <c r="H43" s="230">
        <f>$D$23</f>
        <v>3000</v>
      </c>
      <c r="I43" s="230"/>
      <c r="J43" s="230"/>
      <c r="K43" s="231">
        <f>$C$43-$H$43+$F$43+$O$43</f>
        <v>31025</v>
      </c>
      <c r="L43" s="231"/>
      <c r="M43" s="63">
        <f>SUM($K$43)/$D$9</f>
        <v>0.15512500000000001</v>
      </c>
      <c r="N43" s="64">
        <f>$G$36</f>
        <v>1390.9372891855546</v>
      </c>
      <c r="O43" s="103"/>
      <c r="P43" s="23"/>
      <c r="Q43" s="125"/>
    </row>
    <row r="44" spans="2:25" ht="24.75" customHeight="1">
      <c r="B44" s="65" t="s">
        <v>41</v>
      </c>
      <c r="C44" s="232">
        <f>SUM($E$10)</f>
        <v>292711</v>
      </c>
      <c r="D44" s="233"/>
      <c r="E44" s="66"/>
      <c r="F44" s="234">
        <f>$K$30</f>
        <v>0</v>
      </c>
      <c r="G44" s="235"/>
      <c r="H44" s="235">
        <f>$L$23</f>
        <v>3000</v>
      </c>
      <c r="I44" s="235"/>
      <c r="J44" s="235"/>
      <c r="K44" s="236">
        <f>$C$44-$H$44+$F$44+$O$44</f>
        <v>289711</v>
      </c>
      <c r="L44" s="236"/>
      <c r="M44" s="67">
        <f>SUM($K$44)/D10</f>
        <v>0.57942199999999999</v>
      </c>
      <c r="N44" s="68">
        <f>$G$37</f>
        <v>1880.5040973673481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>
    <pageSetUpPr fitToPage="1"/>
  </sheetPr>
  <dimension ref="B1:Y124"/>
  <sheetViews>
    <sheetView showGridLines="0" topLeftCell="A24" zoomScaleNormal="100" workbookViewId="0">
      <selection activeCell="L19" sqref="L19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SUM('0526'!$K$43:$L$43)</f>
        <v>31025</v>
      </c>
      <c r="F9" s="42">
        <f>SUM(E9)/D9</f>
        <v>0.15512500000000001</v>
      </c>
      <c r="G9" s="10">
        <f>SUM('0526'!$N$43)</f>
        <v>1390.9372891855546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SUM('0526'!$K$44:$L$44)</f>
        <v>289711</v>
      </c>
      <c r="F10" s="44">
        <f>SUM(E10)/D10</f>
        <v>0.57942199999999999</v>
      </c>
      <c r="G10" s="13">
        <f>SUM('0526'!$N$44)</f>
        <v>1880.5040973673481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 t="s">
        <v>90</v>
      </c>
      <c r="D16" s="37">
        <v>8000</v>
      </c>
      <c r="E16" s="37"/>
      <c r="F16" s="77">
        <f t="shared" ref="F16:F22" si="0">IF(D16="","",(SUM($G$9)))</f>
        <v>1390.9372891855546</v>
      </c>
      <c r="G16" s="78">
        <f t="shared" ref="G16:G22" si="1">IF(D16="","",(SUM(E16)-F16))</f>
        <v>-1390.9372891855546</v>
      </c>
      <c r="H16" s="79">
        <f t="shared" ref="H16:H22" si="2">IF(D16="","",(D16*G16))</f>
        <v>-11127498.313484438</v>
      </c>
      <c r="I16" s="17"/>
      <c r="J16" s="159" t="s">
        <v>22</v>
      </c>
      <c r="K16" s="110" t="s">
        <v>73</v>
      </c>
      <c r="L16" s="16">
        <v>20000</v>
      </c>
      <c r="M16" s="37"/>
      <c r="N16" s="94">
        <f t="shared" ref="N16:N22" si="3">IF(L16="","",($G$10))</f>
        <v>1880.5040973673481</v>
      </c>
      <c r="O16" s="95">
        <f t="shared" ref="O16:O22" si="4">IF(L16="","",(SUM(M16)-N16))</f>
        <v>-1880.5040973673481</v>
      </c>
      <c r="P16" s="96">
        <f t="shared" ref="P16:P22" si="5">IF(L16="","",(L16*O16))</f>
        <v>-37610081.947346963</v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 t="s">
        <v>52</v>
      </c>
      <c r="L17" s="16">
        <v>28000</v>
      </c>
      <c r="M17" s="16"/>
      <c r="N17" s="97">
        <f t="shared" si="3"/>
        <v>1880.5040973673481</v>
      </c>
      <c r="O17" s="98">
        <f t="shared" si="4"/>
        <v>-1880.5040973673481</v>
      </c>
      <c r="P17" s="99">
        <f t="shared" si="5"/>
        <v>-52654114.726285748</v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36" t="s">
        <v>61</v>
      </c>
      <c r="L18" s="37">
        <v>9000</v>
      </c>
      <c r="M18" s="16"/>
      <c r="N18" s="97">
        <f t="shared" si="3"/>
        <v>1880.5040973673481</v>
      </c>
      <c r="O18" s="98">
        <f t="shared" si="4"/>
        <v>-1880.5040973673481</v>
      </c>
      <c r="P18" s="99">
        <f t="shared" si="5"/>
        <v>-16924536.876306131</v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36"/>
      <c r="L19" s="37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8000</v>
      </c>
      <c r="E23" s="75"/>
      <c r="F23" s="75"/>
      <c r="G23" s="75"/>
      <c r="H23" s="76">
        <f>SUM(H16:H22)</f>
        <v>-11127498.313484438</v>
      </c>
      <c r="I23" s="106"/>
      <c r="J23" s="89" t="s">
        <v>24</v>
      </c>
      <c r="K23" s="90"/>
      <c r="L23" s="91">
        <f>SUM(L16:L22)</f>
        <v>57000</v>
      </c>
      <c r="M23" s="92"/>
      <c r="N23" s="92"/>
      <c r="O23" s="92"/>
      <c r="P23" s="93">
        <f>SUM(P16:P22)</f>
        <v>-107188733.54993884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23025</v>
      </c>
      <c r="D29" s="177"/>
      <c r="E29" s="178">
        <f>$G$9</f>
        <v>1390.9372891855546</v>
      </c>
      <c r="F29" s="178"/>
      <c r="G29" s="177">
        <f>C29*E29</f>
        <v>32026331.083497394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232711</v>
      </c>
      <c r="D30" s="174"/>
      <c r="E30" s="185">
        <f>$G$10</f>
        <v>1880.5040973673481</v>
      </c>
      <c r="F30" s="185"/>
      <c r="G30" s="174">
        <f>C30*E30</f>
        <v>437613989.00245297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23025</v>
      </c>
      <c r="D36" s="177"/>
      <c r="E36" s="177">
        <f>$G$29+$O$29</f>
        <v>32026331.083497394</v>
      </c>
      <c r="F36" s="177"/>
      <c r="G36" s="178">
        <f>E36/C36</f>
        <v>1390.9372891855546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232711</v>
      </c>
      <c r="D37" s="174"/>
      <c r="E37" s="174">
        <f>$G$30+$O$30</f>
        <v>437613989.00245297</v>
      </c>
      <c r="F37" s="174"/>
      <c r="G37" s="185">
        <f>E37/C37</f>
        <v>1880.5040973673483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31025</v>
      </c>
      <c r="D43" s="228"/>
      <c r="E43" s="62"/>
      <c r="F43" s="229">
        <f>$K$29</f>
        <v>0</v>
      </c>
      <c r="G43" s="230"/>
      <c r="H43" s="230">
        <f>$D$23</f>
        <v>8000</v>
      </c>
      <c r="I43" s="230"/>
      <c r="J43" s="230"/>
      <c r="K43" s="231">
        <f>$C$43-$H$43+$F$43+$O$43</f>
        <v>23025</v>
      </c>
      <c r="L43" s="231"/>
      <c r="M43" s="63">
        <f>SUM($K$43)/$D$9</f>
        <v>0.11512500000000001</v>
      </c>
      <c r="N43" s="64">
        <f>$G$36</f>
        <v>1390.9372891855546</v>
      </c>
      <c r="O43" s="103"/>
      <c r="P43" s="23"/>
      <c r="Q43" s="125"/>
    </row>
    <row r="44" spans="2:25" ht="24.75" customHeight="1">
      <c r="B44" s="65" t="s">
        <v>41</v>
      </c>
      <c r="C44" s="232">
        <f>SUM($E$10)</f>
        <v>289711</v>
      </c>
      <c r="D44" s="233"/>
      <c r="E44" s="66"/>
      <c r="F44" s="234">
        <f>$K$30</f>
        <v>0</v>
      </c>
      <c r="G44" s="235"/>
      <c r="H44" s="235">
        <f>$L$23</f>
        <v>57000</v>
      </c>
      <c r="I44" s="235"/>
      <c r="J44" s="235"/>
      <c r="K44" s="236">
        <f>$C$44-$H$44+$F$44+$O$44</f>
        <v>232711</v>
      </c>
      <c r="L44" s="236"/>
      <c r="M44" s="67">
        <f>SUM($K$44)/D10</f>
        <v>0.465422</v>
      </c>
      <c r="N44" s="68">
        <f>$G$37</f>
        <v>1880.5040973673483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>
    <pageSetUpPr fitToPage="1"/>
  </sheetPr>
  <dimension ref="B1:Y124"/>
  <sheetViews>
    <sheetView showGridLines="0" topLeftCell="A28" zoomScaleNormal="100" workbookViewId="0">
      <selection activeCell="S48" sqref="S48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SUM('0527'!$K$43:$L$43)</f>
        <v>23025</v>
      </c>
      <c r="F9" s="42">
        <f>SUM(E9)/D9</f>
        <v>0.11512500000000001</v>
      </c>
      <c r="G9" s="10">
        <f>SUM('0527'!$N$43)</f>
        <v>1390.9372891855546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SUM('0527'!$K$44:$L$44)</f>
        <v>232711</v>
      </c>
      <c r="F10" s="44">
        <f>SUM(E10)/D10</f>
        <v>0.465422</v>
      </c>
      <c r="G10" s="13">
        <f>SUM('0527'!$N$44)</f>
        <v>1880.5040973673483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 t="s">
        <v>51</v>
      </c>
      <c r="D16" s="37">
        <v>4000</v>
      </c>
      <c r="E16" s="37"/>
      <c r="F16" s="77">
        <f t="shared" ref="F16:F22" si="0">IF(D16="","",(SUM($G$9)))</f>
        <v>1390.9372891855546</v>
      </c>
      <c r="G16" s="78">
        <f t="shared" ref="G16:G22" si="1">IF(D16="","",(SUM(E16)-F16))</f>
        <v>-1390.9372891855546</v>
      </c>
      <c r="H16" s="79">
        <f t="shared" ref="H16:H22" si="2">IF(D16="","",(D16*G16))</f>
        <v>-5563749.1567422189</v>
      </c>
      <c r="I16" s="17"/>
      <c r="J16" s="159" t="s">
        <v>22</v>
      </c>
      <c r="K16" s="110" t="s">
        <v>51</v>
      </c>
      <c r="L16" s="16">
        <v>24000</v>
      </c>
      <c r="M16" s="37"/>
      <c r="N16" s="94">
        <f t="shared" ref="N16:N22" si="3">IF(L16="","",($G$10))</f>
        <v>1880.5040973673483</v>
      </c>
      <c r="O16" s="95">
        <f t="shared" ref="O16:O22" si="4">IF(L16="","",(SUM(M16)-N16))</f>
        <v>-1880.5040973673483</v>
      </c>
      <c r="P16" s="96">
        <f t="shared" ref="P16:P22" si="5">IF(L16="","",(L16*O16))</f>
        <v>-45132098.336816363</v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36"/>
      <c r="L18" s="37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36"/>
      <c r="L19" s="37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4000</v>
      </c>
      <c r="E23" s="75"/>
      <c r="F23" s="75"/>
      <c r="G23" s="75"/>
      <c r="H23" s="76">
        <f>SUM(H16:H22)</f>
        <v>-5563749.1567422189</v>
      </c>
      <c r="I23" s="106"/>
      <c r="J23" s="89" t="s">
        <v>24</v>
      </c>
      <c r="K23" s="90"/>
      <c r="L23" s="91">
        <f>SUM(L16:L22)</f>
        <v>24000</v>
      </c>
      <c r="M23" s="92"/>
      <c r="N23" s="92"/>
      <c r="O23" s="92"/>
      <c r="P23" s="93">
        <f>SUM(P16:P22)</f>
        <v>-45132098.336816363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19025</v>
      </c>
      <c r="D29" s="177"/>
      <c r="E29" s="178">
        <f>$G$9</f>
        <v>1390.9372891855546</v>
      </c>
      <c r="F29" s="178"/>
      <c r="G29" s="177">
        <f>C29*E29</f>
        <v>26462581.926755175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208711</v>
      </c>
      <c r="D30" s="174"/>
      <c r="E30" s="185">
        <f>$G$10</f>
        <v>1880.5040973673483</v>
      </c>
      <c r="F30" s="185"/>
      <c r="G30" s="174">
        <f>C30*E30</f>
        <v>392481890.66563666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19025</v>
      </c>
      <c r="D36" s="177"/>
      <c r="E36" s="177">
        <f>$G$29+$O$29</f>
        <v>26462581.926755175</v>
      </c>
      <c r="F36" s="177"/>
      <c r="G36" s="178">
        <f>E36/C36</f>
        <v>1390.9372891855546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208711</v>
      </c>
      <c r="D37" s="174"/>
      <c r="E37" s="174">
        <f>$G$30+$O$30</f>
        <v>392481890.66563666</v>
      </c>
      <c r="F37" s="174"/>
      <c r="G37" s="185">
        <f>E37/C37</f>
        <v>1880.5040973673483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23025</v>
      </c>
      <c r="D43" s="228"/>
      <c r="E43" s="62"/>
      <c r="F43" s="229">
        <f>$K$29</f>
        <v>0</v>
      </c>
      <c r="G43" s="230"/>
      <c r="H43" s="230">
        <f>$D$23</f>
        <v>4000</v>
      </c>
      <c r="I43" s="230"/>
      <c r="J43" s="230"/>
      <c r="K43" s="231">
        <f>$C$43-$H$43+$F$43+$O$43</f>
        <v>19025</v>
      </c>
      <c r="L43" s="231"/>
      <c r="M43" s="63">
        <f>SUM($K$43)/$D$9</f>
        <v>9.5125000000000001E-2</v>
      </c>
      <c r="N43" s="64">
        <f>$G$36</f>
        <v>1390.9372891855546</v>
      </c>
      <c r="O43" s="103"/>
      <c r="P43" s="23"/>
      <c r="Q43" s="125"/>
    </row>
    <row r="44" spans="2:25" ht="24.75" customHeight="1">
      <c r="B44" s="65" t="s">
        <v>41</v>
      </c>
      <c r="C44" s="232">
        <f>SUM($E$10)</f>
        <v>232711</v>
      </c>
      <c r="D44" s="233"/>
      <c r="E44" s="66"/>
      <c r="F44" s="234">
        <f>$K$30</f>
        <v>0</v>
      </c>
      <c r="G44" s="235"/>
      <c r="H44" s="235">
        <f>$L$23</f>
        <v>24000</v>
      </c>
      <c r="I44" s="235"/>
      <c r="J44" s="235"/>
      <c r="K44" s="236">
        <f>$C$44-$H$44+$F$44+$O$44</f>
        <v>208711</v>
      </c>
      <c r="L44" s="236"/>
      <c r="M44" s="67">
        <f>SUM($K$44)/D10</f>
        <v>0.41742200000000002</v>
      </c>
      <c r="N44" s="68">
        <f>$G$37</f>
        <v>1880.5040973673483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>
    <tabColor theme="9" tint="0.79998168889431442"/>
    <pageSetUpPr fitToPage="1"/>
  </sheetPr>
  <dimension ref="B1:Y124"/>
  <sheetViews>
    <sheetView showGridLines="0" topLeftCell="A22" zoomScaleNormal="100" workbookViewId="0">
      <selection activeCell="Q40" sqref="Q40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 thickBo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 thickTop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SUM('0528'!$K$43:$L$43)</f>
        <v>19025</v>
      </c>
      <c r="F9" s="42">
        <f>SUM(E9)/D9</f>
        <v>9.5125000000000001E-2</v>
      </c>
      <c r="G9" s="10">
        <f>SUM('0528'!$N$43)</f>
        <v>1390.9372891855546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SUM('0528'!$K$44:$L$44)</f>
        <v>208711</v>
      </c>
      <c r="F10" s="44">
        <f>SUM(E10)/D10</f>
        <v>0.41742200000000002</v>
      </c>
      <c r="G10" s="13">
        <f>SUM('0528'!$N$44)</f>
        <v>1880.5040973673483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110"/>
      <c r="L16" s="16"/>
      <c r="M16" s="37"/>
      <c r="N16" s="94" t="str">
        <f t="shared" ref="N16:N22" si="3">IF(L16="","",($G$10))</f>
        <v/>
      </c>
      <c r="O16" s="95" t="str">
        <f t="shared" ref="O16:O22" si="4">IF(L16="","",(SUM(M16)-N16))</f>
        <v/>
      </c>
      <c r="P16" s="96" t="str">
        <f t="shared" ref="P16:P22" si="5">IF(L16="","",(L16*O16))</f>
        <v/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36"/>
      <c r="L18" s="37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36"/>
      <c r="L19" s="37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0</v>
      </c>
      <c r="M23" s="92"/>
      <c r="N23" s="92"/>
      <c r="O23" s="92"/>
      <c r="P23" s="93">
        <f>SUM(P16:P22)</f>
        <v>0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19025</v>
      </c>
      <c r="D29" s="177"/>
      <c r="E29" s="178">
        <f>$G$9</f>
        <v>1390.9372891855546</v>
      </c>
      <c r="F29" s="178"/>
      <c r="G29" s="177">
        <f>C29*E29</f>
        <v>26462581.926755175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208711</v>
      </c>
      <c r="D30" s="174"/>
      <c r="E30" s="185">
        <f>$G$10</f>
        <v>1880.5040973673483</v>
      </c>
      <c r="F30" s="185"/>
      <c r="G30" s="174">
        <f>C30*E30</f>
        <v>392481890.66563666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27" t="s">
        <v>91</v>
      </c>
      <c r="L35" s="18" t="s">
        <v>92</v>
      </c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19025</v>
      </c>
      <c r="D36" s="177"/>
      <c r="E36" s="177">
        <f>$G$29+$O$29-K36-L36</f>
        <v>24499910.272632129</v>
      </c>
      <c r="F36" s="177"/>
      <c r="G36" s="178">
        <f>E36/C36</f>
        <v>1287.7745215575364</v>
      </c>
      <c r="H36" s="214"/>
      <c r="I36" s="17"/>
      <c r="J36" s="17"/>
      <c r="K36" s="126">
        <v>1135200</v>
      </c>
      <c r="L36" s="131">
        <v>827471.65412304737</v>
      </c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208711</v>
      </c>
      <c r="D37" s="174"/>
      <c r="E37" s="174">
        <f>$G$30+$O$30-K37-L37</f>
        <v>357709215.91036421</v>
      </c>
      <c r="F37" s="174"/>
      <c r="G37" s="185">
        <f>E37/C37</f>
        <v>1713.8972833744469</v>
      </c>
      <c r="H37" s="212"/>
      <c r="I37" s="17"/>
      <c r="J37" s="18"/>
      <c r="K37" s="132">
        <v>20373870</v>
      </c>
      <c r="L37" s="131">
        <v>14398804.755272452</v>
      </c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19025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19025</v>
      </c>
      <c r="L43" s="231"/>
      <c r="M43" s="63">
        <f>SUM($K$43)/$D$9</f>
        <v>9.5125000000000001E-2</v>
      </c>
      <c r="N43" s="64">
        <f>$G$36</f>
        <v>1287.7745215575364</v>
      </c>
      <c r="O43" s="103"/>
      <c r="P43" s="23"/>
      <c r="Q43" s="125"/>
    </row>
    <row r="44" spans="2:25" ht="24.75" customHeight="1">
      <c r="B44" s="65" t="s">
        <v>41</v>
      </c>
      <c r="C44" s="232">
        <f>SUM($E$10)</f>
        <v>208711</v>
      </c>
      <c r="D44" s="233"/>
      <c r="E44" s="66"/>
      <c r="F44" s="234">
        <f>$K$30</f>
        <v>0</v>
      </c>
      <c r="G44" s="235"/>
      <c r="H44" s="235">
        <f>$L$23</f>
        <v>0</v>
      </c>
      <c r="I44" s="235"/>
      <c r="J44" s="235"/>
      <c r="K44" s="236">
        <f>$C$44-$H$44+$F$44+$O$44</f>
        <v>208711</v>
      </c>
      <c r="L44" s="236"/>
      <c r="M44" s="67">
        <f>SUM($K$44)/D10</f>
        <v>0.41742200000000002</v>
      </c>
      <c r="N44" s="68">
        <f>$G$37</f>
        <v>1713.8972833744469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5:C46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>
    <pageSetUpPr fitToPage="1"/>
  </sheetPr>
  <dimension ref="B1:Y124"/>
  <sheetViews>
    <sheetView showGridLines="0" topLeftCell="A27" zoomScaleNormal="100" workbookViewId="0">
      <selection activeCell="E38" sqref="E38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SUM('0601 (기초)'!$K$43:$L$43)</f>
        <v>19025</v>
      </c>
      <c r="F9" s="42">
        <f>SUM(E9)/D9</f>
        <v>9.5125000000000001E-2</v>
      </c>
      <c r="G9" s="10">
        <f>SUM('0601 (기초)'!$N$43)</f>
        <v>1287.7745215575364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SUM('0601 (기초)'!$K$44:$L$44)</f>
        <v>208711</v>
      </c>
      <c r="F10" s="44">
        <f>SUM(E10)/D10</f>
        <v>0.41742200000000002</v>
      </c>
      <c r="G10" s="13">
        <f>SUM('0601 (기초)'!$N$44)</f>
        <v>1713.8972833744469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110"/>
      <c r="L16" s="16"/>
      <c r="M16" s="37"/>
      <c r="N16" s="94" t="str">
        <f t="shared" ref="N16:N22" si="3">IF(L16="","",($G$10))</f>
        <v/>
      </c>
      <c r="O16" s="95" t="str">
        <f t="shared" ref="O16:O22" si="4">IF(L16="","",(SUM(M16)-N16))</f>
        <v/>
      </c>
      <c r="P16" s="96" t="str">
        <f t="shared" ref="P16:P22" si="5">IF(L16="","",(L16*O16))</f>
        <v/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36"/>
      <c r="L18" s="37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36"/>
      <c r="L19" s="37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0</v>
      </c>
      <c r="M23" s="92"/>
      <c r="N23" s="92"/>
      <c r="O23" s="92"/>
      <c r="P23" s="93">
        <f>SUM(P16:P22)</f>
        <v>0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19025</v>
      </c>
      <c r="D29" s="177"/>
      <c r="E29" s="178">
        <f>$G$9</f>
        <v>1287.7745215575364</v>
      </c>
      <c r="F29" s="178"/>
      <c r="G29" s="177">
        <f>C29*E29</f>
        <v>24499910.272632129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208711</v>
      </c>
      <c r="D30" s="174"/>
      <c r="E30" s="185">
        <f>$G$10</f>
        <v>1713.8972833744469</v>
      </c>
      <c r="F30" s="185"/>
      <c r="G30" s="174">
        <f>C30*E30</f>
        <v>357709215.91036421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27"/>
      <c r="L35" s="127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19025</v>
      </c>
      <c r="D36" s="177"/>
      <c r="E36" s="177">
        <f>$G$29+$O$29</f>
        <v>24499910.272632129</v>
      </c>
      <c r="F36" s="177"/>
      <c r="G36" s="178">
        <f>E36/C36</f>
        <v>1287.7745215575364</v>
      </c>
      <c r="H36" s="214"/>
      <c r="I36" s="17"/>
      <c r="J36" s="17"/>
      <c r="K36" s="13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208711</v>
      </c>
      <c r="D37" s="174"/>
      <c r="E37" s="174">
        <f>$G$30+$O$30</f>
        <v>357709215.91036421</v>
      </c>
      <c r="F37" s="174"/>
      <c r="G37" s="185">
        <f>E37/C37</f>
        <v>1713.8972833744469</v>
      </c>
      <c r="H37" s="212"/>
      <c r="I37" s="17"/>
      <c r="J37" s="18"/>
      <c r="K37" s="13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19025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19025</v>
      </c>
      <c r="L43" s="231"/>
      <c r="M43" s="63">
        <f>SUM($K$43)/$D$9</f>
        <v>9.5125000000000001E-2</v>
      </c>
      <c r="N43" s="64">
        <f>$G$36</f>
        <v>1287.7745215575364</v>
      </c>
      <c r="O43" s="103"/>
      <c r="P43" s="23"/>
      <c r="Q43" s="125"/>
    </row>
    <row r="44" spans="2:25" ht="24.75" customHeight="1">
      <c r="B44" s="65" t="s">
        <v>41</v>
      </c>
      <c r="C44" s="232">
        <f>SUM($E$10)</f>
        <v>208711</v>
      </c>
      <c r="D44" s="233"/>
      <c r="E44" s="66"/>
      <c r="F44" s="234">
        <f>$K$30</f>
        <v>0</v>
      </c>
      <c r="G44" s="235"/>
      <c r="H44" s="235">
        <f>$L$23</f>
        <v>0</v>
      </c>
      <c r="I44" s="235"/>
      <c r="J44" s="235"/>
      <c r="K44" s="236">
        <f>$C$44-$H$44+$F$44+$O$44</f>
        <v>208711</v>
      </c>
      <c r="L44" s="236"/>
      <c r="M44" s="67">
        <f>SUM($K$44)/D10</f>
        <v>0.41742200000000002</v>
      </c>
      <c r="N44" s="68">
        <f>$G$37</f>
        <v>1713.8972833744469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5:C46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>
    <pageSetUpPr fitToPage="1"/>
  </sheetPr>
  <dimension ref="B1:Y124"/>
  <sheetViews>
    <sheetView showGridLines="0" topLeftCell="A14" zoomScaleNormal="100" workbookViewId="0">
      <selection activeCell="L19" sqref="L19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SUM('0601'!$K$43:$L$43)</f>
        <v>19025</v>
      </c>
      <c r="F9" s="42">
        <f>SUM(E9)/D9</f>
        <v>9.5125000000000001E-2</v>
      </c>
      <c r="G9" s="10">
        <f>SUM('0601'!$N$43)</f>
        <v>1287.7745215575364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SUM('0601'!$K$44:$L$44)</f>
        <v>208711</v>
      </c>
      <c r="F10" s="44">
        <f>SUM(E10)/D10</f>
        <v>0.41742200000000002</v>
      </c>
      <c r="G10" s="13">
        <f>SUM('0601'!$N$44)</f>
        <v>1713.8972833744469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110" t="s">
        <v>61</v>
      </c>
      <c r="L16" s="16">
        <v>6000</v>
      </c>
      <c r="M16" s="37"/>
      <c r="N16" s="94">
        <f t="shared" ref="N16:N22" si="3">IF(L16="","",($G$10))</f>
        <v>1713.8972833744469</v>
      </c>
      <c r="O16" s="95">
        <f t="shared" ref="O16:O22" si="4">IF(L16="","",(SUM(M16)-N16))</f>
        <v>-1713.8972833744469</v>
      </c>
      <c r="P16" s="96">
        <f t="shared" ref="P16:P22" si="5">IF(L16="","",(L16*O16))</f>
        <v>-10283383.700246682</v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36"/>
      <c r="L18" s="37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36"/>
      <c r="L19" s="37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6000</v>
      </c>
      <c r="M23" s="92"/>
      <c r="N23" s="92"/>
      <c r="O23" s="92"/>
      <c r="P23" s="93">
        <f>SUM(P16:P22)</f>
        <v>-10283383.700246682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19025</v>
      </c>
      <c r="D29" s="177"/>
      <c r="E29" s="178">
        <f>$G$9</f>
        <v>1287.7745215575364</v>
      </c>
      <c r="F29" s="178"/>
      <c r="G29" s="177">
        <f>C29*E29</f>
        <v>24499910.272632129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202711</v>
      </c>
      <c r="D30" s="174"/>
      <c r="E30" s="185">
        <f>$G$10</f>
        <v>1713.8972833744469</v>
      </c>
      <c r="F30" s="185"/>
      <c r="G30" s="174">
        <f>C30*E30</f>
        <v>347425832.21011752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19025</v>
      </c>
      <c r="D36" s="177"/>
      <c r="E36" s="177">
        <f>$G$29+$O$29</f>
        <v>24499910.272632129</v>
      </c>
      <c r="F36" s="177"/>
      <c r="G36" s="178">
        <f>E36/C36</f>
        <v>1287.7745215575364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202711</v>
      </c>
      <c r="D37" s="174"/>
      <c r="E37" s="174">
        <f>$G$30+$O$30</f>
        <v>347425832.21011752</v>
      </c>
      <c r="F37" s="174"/>
      <c r="G37" s="185">
        <f>E37/C37</f>
        <v>1713.8972833744469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19025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19025</v>
      </c>
      <c r="L43" s="231"/>
      <c r="M43" s="63">
        <f>SUM($K$43)/$D$9</f>
        <v>9.5125000000000001E-2</v>
      </c>
      <c r="N43" s="64">
        <f>$G$36</f>
        <v>1287.7745215575364</v>
      </c>
      <c r="O43" s="103"/>
      <c r="P43" s="23"/>
      <c r="Q43" s="125"/>
    </row>
    <row r="44" spans="2:25" ht="24.75" customHeight="1">
      <c r="B44" s="65" t="s">
        <v>41</v>
      </c>
      <c r="C44" s="232">
        <f>SUM($E$10)</f>
        <v>208711</v>
      </c>
      <c r="D44" s="233"/>
      <c r="E44" s="66"/>
      <c r="F44" s="234">
        <f>$K$30</f>
        <v>0</v>
      </c>
      <c r="G44" s="235"/>
      <c r="H44" s="235">
        <f>$L$23</f>
        <v>6000</v>
      </c>
      <c r="I44" s="235"/>
      <c r="J44" s="235"/>
      <c r="K44" s="236">
        <f>$C$44-$H$44+$F$44+$O$44</f>
        <v>202711</v>
      </c>
      <c r="L44" s="236"/>
      <c r="M44" s="67">
        <f>SUM($K$44)/D10</f>
        <v>0.405422</v>
      </c>
      <c r="N44" s="68">
        <f>$G$37</f>
        <v>1713.8972833744469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5:C46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 r:id="rId1"/>
  <headerFooter alignWithMargins="0"/>
  <rowBreaks count="1" manualBreakCount="1">
    <brk id="22" min="1" max="18" man="1"/>
  </row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>
    <tabColor rgb="FFFFFF00"/>
    <pageSetUpPr fitToPage="1"/>
  </sheetPr>
  <dimension ref="B1:Y124"/>
  <sheetViews>
    <sheetView showGridLines="0" topLeftCell="A27" zoomScaleNormal="100" workbookViewId="0">
      <selection activeCell="N32" sqref="N32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SUM('0602'!$K$43:$L$43)</f>
        <v>19025</v>
      </c>
      <c r="F9" s="42">
        <f>SUM(E9)/D9</f>
        <v>9.5125000000000001E-2</v>
      </c>
      <c r="G9" s="10">
        <f>SUM('0602'!$N$43)</f>
        <v>1287.7745215575364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SUM('0602'!$K$44:$L$44)</f>
        <v>202711</v>
      </c>
      <c r="F10" s="44">
        <f>SUM(E10)/D10</f>
        <v>0.405422</v>
      </c>
      <c r="G10" s="13">
        <f>SUM('0602'!$N$44)</f>
        <v>1713.8972833744469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110"/>
      <c r="L16" s="16"/>
      <c r="M16" s="37"/>
      <c r="N16" s="94" t="str">
        <f t="shared" ref="N16:N22" si="3">IF(L16="","",($G$10))</f>
        <v/>
      </c>
      <c r="O16" s="95" t="str">
        <f t="shared" ref="O16:O22" si="4">IF(L16="","",(SUM(M16)-N16))</f>
        <v/>
      </c>
      <c r="P16" s="96" t="str">
        <f t="shared" ref="P16:P22" si="5">IF(L16="","",(L16*O16))</f>
        <v/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36"/>
      <c r="L18" s="37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36"/>
      <c r="L19" s="37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0</v>
      </c>
      <c r="M23" s="92"/>
      <c r="N23" s="92"/>
      <c r="O23" s="92"/>
      <c r="P23" s="93">
        <f>SUM(P16:P22)</f>
        <v>0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19025</v>
      </c>
      <c r="D29" s="177"/>
      <c r="E29" s="178">
        <f>$G$9</f>
        <v>1287.7745215575364</v>
      </c>
      <c r="F29" s="178"/>
      <c r="G29" s="177">
        <f>C29*E29</f>
        <v>24499910.272632129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202711</v>
      </c>
      <c r="D30" s="174"/>
      <c r="E30" s="185">
        <f>$G$10</f>
        <v>1713.8972833744469</v>
      </c>
      <c r="F30" s="185"/>
      <c r="G30" s="174">
        <f>C30*E30</f>
        <v>347425832.21011752</v>
      </c>
      <c r="H30" s="175"/>
      <c r="I30" s="17"/>
      <c r="J30" s="50" t="s">
        <v>11</v>
      </c>
      <c r="K30" s="186">
        <v>55732</v>
      </c>
      <c r="L30" s="187"/>
      <c r="M30" s="188">
        <v>1899.12294664502</v>
      </c>
      <c r="N30" s="189"/>
      <c r="O30" s="174">
        <f>K30*M30</f>
        <v>105841920.06242025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19025</v>
      </c>
      <c r="D36" s="177"/>
      <c r="E36" s="177">
        <f>$G$29+$O$29</f>
        <v>24499910.272632129</v>
      </c>
      <c r="F36" s="177"/>
      <c r="G36" s="178">
        <f>E36/C36</f>
        <v>1287.7745215575364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258443</v>
      </c>
      <c r="D37" s="174"/>
      <c r="E37" s="174">
        <f>$G$30+$O$30</f>
        <v>453267752.27253777</v>
      </c>
      <c r="F37" s="174"/>
      <c r="G37" s="185">
        <f>E37/C37</f>
        <v>1753.8403140055555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19025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19025</v>
      </c>
      <c r="L43" s="231"/>
      <c r="M43" s="63">
        <f>SUM($K$43)/$D$9</f>
        <v>9.5125000000000001E-2</v>
      </c>
      <c r="N43" s="64">
        <f>$G$36</f>
        <v>1287.7745215575364</v>
      </c>
      <c r="O43" s="103"/>
      <c r="P43" s="23"/>
      <c r="Q43" s="125"/>
    </row>
    <row r="44" spans="2:25" ht="24.75" customHeight="1">
      <c r="B44" s="65" t="s">
        <v>41</v>
      </c>
      <c r="C44" s="232">
        <f>SUM($E$10)</f>
        <v>202711</v>
      </c>
      <c r="D44" s="233"/>
      <c r="E44" s="66"/>
      <c r="F44" s="234">
        <f>$K$30</f>
        <v>55732</v>
      </c>
      <c r="G44" s="235"/>
      <c r="H44" s="235">
        <f>$L$23</f>
        <v>0</v>
      </c>
      <c r="I44" s="235"/>
      <c r="J44" s="235"/>
      <c r="K44" s="236">
        <f>$C$44-$H$44+$F$44+$O$44</f>
        <v>258443</v>
      </c>
      <c r="L44" s="236"/>
      <c r="M44" s="67">
        <f>SUM($K$44)/D10</f>
        <v>0.51688599999999996</v>
      </c>
      <c r="N44" s="68">
        <f>$G$37</f>
        <v>1753.8403140055555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>
    <pageSetUpPr fitToPage="1"/>
  </sheetPr>
  <dimension ref="B1:Y124"/>
  <sheetViews>
    <sheetView showGridLines="0" topLeftCell="A8" zoomScaleNormal="100" workbookViewId="0">
      <selection activeCell="S24" sqref="S24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SUM('0605 (입고)'!$K$43:$L$43)</f>
        <v>19025</v>
      </c>
      <c r="F9" s="42">
        <f>SUM(E9)/D9</f>
        <v>9.5125000000000001E-2</v>
      </c>
      <c r="G9" s="10">
        <f>SUM('0605 (입고)'!$N$43)</f>
        <v>1287.7745215575364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SUM('0605 (입고)'!$K$44:$L$44)</f>
        <v>258443</v>
      </c>
      <c r="F10" s="44">
        <f>SUM(E10)/D10</f>
        <v>0.51688599999999996</v>
      </c>
      <c r="G10" s="13">
        <f>SUM('0605 (입고)'!$N$44)</f>
        <v>1753.8403140055555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110" t="s">
        <v>81</v>
      </c>
      <c r="L16" s="16">
        <v>56000</v>
      </c>
      <c r="M16" s="37"/>
      <c r="N16" s="94">
        <f t="shared" ref="N16:N22" si="3">IF(L16="","",($G$10))</f>
        <v>1753.8403140055555</v>
      </c>
      <c r="O16" s="95">
        <f t="shared" ref="O16:O22" si="4">IF(L16="","",(SUM(M16)-N16))</f>
        <v>-1753.8403140055555</v>
      </c>
      <c r="P16" s="96">
        <f t="shared" ref="P16:P22" si="5">IF(L16="","",(L16*O16))</f>
        <v>-98215057.584311113</v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36"/>
      <c r="L18" s="37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36"/>
      <c r="L19" s="37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56000</v>
      </c>
      <c r="M23" s="92"/>
      <c r="N23" s="92"/>
      <c r="O23" s="92"/>
      <c r="P23" s="93">
        <f>SUM(P16:P22)</f>
        <v>-98215057.584311113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19025</v>
      </c>
      <c r="D29" s="177"/>
      <c r="E29" s="178">
        <f>$G$9</f>
        <v>1287.7745215575364</v>
      </c>
      <c r="F29" s="178"/>
      <c r="G29" s="177">
        <f>C29*E29</f>
        <v>24499910.272632129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202443</v>
      </c>
      <c r="D30" s="174"/>
      <c r="E30" s="185">
        <f>$G$10</f>
        <v>1753.8403140055555</v>
      </c>
      <c r="F30" s="185"/>
      <c r="G30" s="174">
        <f>C30*E30</f>
        <v>355052694.68822664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19025</v>
      </c>
      <c r="D36" s="177"/>
      <c r="E36" s="177">
        <f>$G$29+$O$29</f>
        <v>24499910.272632129</v>
      </c>
      <c r="F36" s="177"/>
      <c r="G36" s="178">
        <f>E36/C36</f>
        <v>1287.7745215575364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202443</v>
      </c>
      <c r="D37" s="174"/>
      <c r="E37" s="174">
        <f>$G$30+$O$30</f>
        <v>355052694.68822664</v>
      </c>
      <c r="F37" s="174"/>
      <c r="G37" s="185">
        <f>E37/C37</f>
        <v>1753.8403140055555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19025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19025</v>
      </c>
      <c r="L43" s="231"/>
      <c r="M43" s="63">
        <f>SUM($K$43)/$D$9</f>
        <v>9.5125000000000001E-2</v>
      </c>
      <c r="N43" s="64">
        <f>$G$36</f>
        <v>1287.7745215575364</v>
      </c>
      <c r="O43" s="103"/>
      <c r="P43" s="23"/>
      <c r="Q43" s="125"/>
    </row>
    <row r="44" spans="2:25" ht="24.75" customHeight="1">
      <c r="B44" s="65" t="s">
        <v>41</v>
      </c>
      <c r="C44" s="232">
        <f>SUM($E$10)</f>
        <v>258443</v>
      </c>
      <c r="D44" s="233"/>
      <c r="E44" s="66"/>
      <c r="F44" s="234">
        <f>$K$30</f>
        <v>0</v>
      </c>
      <c r="G44" s="235"/>
      <c r="H44" s="235">
        <f>$L$23</f>
        <v>56000</v>
      </c>
      <c r="I44" s="235"/>
      <c r="J44" s="235"/>
      <c r="K44" s="236">
        <f>$C$44-$H$44+$F$44+$O$44</f>
        <v>202443</v>
      </c>
      <c r="L44" s="236"/>
      <c r="M44" s="67">
        <f>SUM($K$44)/D10</f>
        <v>0.40488600000000002</v>
      </c>
      <c r="N44" s="68">
        <f>$G$37</f>
        <v>1753.8403140055555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>
    <pageSetUpPr fitToPage="1"/>
  </sheetPr>
  <dimension ref="B1:Y124"/>
  <sheetViews>
    <sheetView showGridLines="0" topLeftCell="A12" zoomScaleNormal="100" workbookViewId="0">
      <selection activeCell="T25" sqref="T25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SUM('0605'!$K$43:$L$43)</f>
        <v>19025</v>
      </c>
      <c r="F9" s="42">
        <f>SUM(E9)/D9</f>
        <v>9.5125000000000001E-2</v>
      </c>
      <c r="G9" s="10">
        <f>SUM('0605'!$N$43)</f>
        <v>1287.7745215575364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SUM('0605'!$K$44:$L$44)</f>
        <v>202443</v>
      </c>
      <c r="F10" s="44">
        <f>SUM(E10)/D10</f>
        <v>0.40488600000000002</v>
      </c>
      <c r="G10" s="13">
        <f>SUM('0605'!$N$44)</f>
        <v>1753.8403140055555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110" t="s">
        <v>61</v>
      </c>
      <c r="L16" s="16">
        <v>6000</v>
      </c>
      <c r="M16" s="37"/>
      <c r="N16" s="94">
        <f t="shared" ref="N16:N22" si="3">IF(L16="","",($G$10))</f>
        <v>1753.8403140055555</v>
      </c>
      <c r="O16" s="95">
        <f t="shared" ref="O16:O22" si="4">IF(L16="","",(SUM(M16)-N16))</f>
        <v>-1753.8403140055555</v>
      </c>
      <c r="P16" s="96">
        <f t="shared" ref="P16:P22" si="5">IF(L16="","",(L16*O16))</f>
        <v>-10523041.884033334</v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36"/>
      <c r="L18" s="37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36"/>
      <c r="L19" s="37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6000</v>
      </c>
      <c r="M23" s="92"/>
      <c r="N23" s="92"/>
      <c r="O23" s="92"/>
      <c r="P23" s="93">
        <f>SUM(P16:P22)</f>
        <v>-10523041.884033334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19025</v>
      </c>
      <c r="D29" s="177"/>
      <c r="E29" s="178">
        <f>$G$9</f>
        <v>1287.7745215575364</v>
      </c>
      <c r="F29" s="178"/>
      <c r="G29" s="177">
        <f>C29*E29</f>
        <v>24499910.272632129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196443</v>
      </c>
      <c r="D30" s="174"/>
      <c r="E30" s="185">
        <f>$G$10</f>
        <v>1753.8403140055555</v>
      </c>
      <c r="F30" s="185"/>
      <c r="G30" s="174">
        <f>C30*E30</f>
        <v>344529652.80419332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19025</v>
      </c>
      <c r="D36" s="177"/>
      <c r="E36" s="177">
        <f>$G$29+$O$29</f>
        <v>24499910.272632129</v>
      </c>
      <c r="F36" s="177"/>
      <c r="G36" s="178">
        <f>E36/C36</f>
        <v>1287.7745215575364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196443</v>
      </c>
      <c r="D37" s="174"/>
      <c r="E37" s="174">
        <f>$G$30+$O$30</f>
        <v>344529652.80419332</v>
      </c>
      <c r="F37" s="174"/>
      <c r="G37" s="185">
        <f>E37/C37</f>
        <v>1753.8403140055555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19025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19025</v>
      </c>
      <c r="L43" s="231"/>
      <c r="M43" s="63">
        <f>SUM($K$43)/$D$9</f>
        <v>9.5125000000000001E-2</v>
      </c>
      <c r="N43" s="64">
        <f>$G$36</f>
        <v>1287.7745215575364</v>
      </c>
      <c r="O43" s="103"/>
      <c r="P43" s="23"/>
      <c r="Q43" s="125"/>
    </row>
    <row r="44" spans="2:25" ht="24.75" customHeight="1">
      <c r="B44" s="65" t="s">
        <v>41</v>
      </c>
      <c r="C44" s="232">
        <f>SUM($E$10)</f>
        <v>202443</v>
      </c>
      <c r="D44" s="233"/>
      <c r="E44" s="66"/>
      <c r="F44" s="234">
        <f>$K$30</f>
        <v>0</v>
      </c>
      <c r="G44" s="235"/>
      <c r="H44" s="235">
        <f>$L$23</f>
        <v>6000</v>
      </c>
      <c r="I44" s="235"/>
      <c r="J44" s="235"/>
      <c r="K44" s="236">
        <f>$C$44-$H$44+$F$44+$O$44</f>
        <v>196443</v>
      </c>
      <c r="L44" s="236"/>
      <c r="M44" s="67">
        <f>SUM($K$44)/D10</f>
        <v>0.39288600000000001</v>
      </c>
      <c r="N44" s="68">
        <f>$G$37</f>
        <v>1753.8403140055555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5:C46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>
    <tabColor rgb="FFFFFF00"/>
    <pageSetUpPr fitToPage="1"/>
  </sheetPr>
  <dimension ref="B1:Y124"/>
  <sheetViews>
    <sheetView showGridLines="0" topLeftCell="A24" zoomScaleNormal="100" workbookViewId="0">
      <selection activeCell="P34" sqref="P34:P35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SUM('0608'!$K$43:$L$43)</f>
        <v>19025</v>
      </c>
      <c r="F9" s="42">
        <f>SUM(E9)/D9</f>
        <v>9.5125000000000001E-2</v>
      </c>
      <c r="G9" s="10">
        <f>SUM('0608'!$N$43)</f>
        <v>1287.7745215575364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SUM('0608'!$K$44:$L$44)</f>
        <v>196443</v>
      </c>
      <c r="F10" s="44">
        <f>SUM(E10)/D10</f>
        <v>0.39288600000000001</v>
      </c>
      <c r="G10" s="13">
        <f>SUM('0608'!$N$44)</f>
        <v>1753.8403140055555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110"/>
      <c r="L16" s="16"/>
      <c r="M16" s="37"/>
      <c r="N16" s="94" t="str">
        <f t="shared" ref="N16:N22" si="3">IF(L16="","",($G$10))</f>
        <v/>
      </c>
      <c r="O16" s="95" t="str">
        <f t="shared" ref="O16:O22" si="4">IF(L16="","",(SUM(M16)-N16))</f>
        <v/>
      </c>
      <c r="P16" s="96" t="str">
        <f t="shared" ref="P16:P22" si="5">IF(L16="","",(L16*O16))</f>
        <v/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36"/>
      <c r="L18" s="37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36"/>
      <c r="L19" s="37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0</v>
      </c>
      <c r="M23" s="92"/>
      <c r="N23" s="92"/>
      <c r="O23" s="92"/>
      <c r="P23" s="93">
        <f>SUM(P16:P22)</f>
        <v>0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19025</v>
      </c>
      <c r="D29" s="177"/>
      <c r="E29" s="178">
        <f>$G$9</f>
        <v>1287.7745215575364</v>
      </c>
      <c r="F29" s="178"/>
      <c r="G29" s="177">
        <f>C29*E29</f>
        <v>24499910.272632129</v>
      </c>
      <c r="H29" s="179"/>
      <c r="I29" s="17"/>
      <c r="J29" s="49" t="s">
        <v>9</v>
      </c>
      <c r="K29" s="180">
        <v>3992</v>
      </c>
      <c r="L29" s="181"/>
      <c r="M29" s="182">
        <v>1525.9835828448499</v>
      </c>
      <c r="N29" s="183"/>
      <c r="O29" s="177">
        <f>K29*M29</f>
        <v>6091726.4627166409</v>
      </c>
      <c r="P29" s="179"/>
      <c r="R29" s="18"/>
    </row>
    <row r="30" spans="2:18" ht="22.5" customHeight="1">
      <c r="B30" s="50" t="s">
        <v>11</v>
      </c>
      <c r="C30" s="184">
        <f>$E$10-$L$23</f>
        <v>196443</v>
      </c>
      <c r="D30" s="174"/>
      <c r="E30" s="185">
        <f>$G$10</f>
        <v>1753.8403140055555</v>
      </c>
      <c r="F30" s="185"/>
      <c r="G30" s="174">
        <f>C30*E30</f>
        <v>344529652.80419332</v>
      </c>
      <c r="H30" s="175"/>
      <c r="I30" s="17"/>
      <c r="J30" s="50" t="s">
        <v>11</v>
      </c>
      <c r="K30" s="186">
        <v>107737</v>
      </c>
      <c r="L30" s="187"/>
      <c r="M30" s="188">
        <v>1909.3977109309201</v>
      </c>
      <c r="N30" s="189"/>
      <c r="O30" s="174">
        <f>K30*M30</f>
        <v>205712781.18256453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8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23017</v>
      </c>
      <c r="D36" s="177"/>
      <c r="E36" s="177">
        <f>$G$29+$O$29</f>
        <v>30591636.735348769</v>
      </c>
      <c r="F36" s="177"/>
      <c r="G36" s="178">
        <f>E36/C36</f>
        <v>1329.0887924294552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304180</v>
      </c>
      <c r="D37" s="174"/>
      <c r="E37" s="174">
        <f>$G$30+$O$30</f>
        <v>550242433.98675787</v>
      </c>
      <c r="F37" s="174"/>
      <c r="G37" s="185">
        <f>E37/C37</f>
        <v>1808.9369254611015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19025</v>
      </c>
      <c r="D43" s="228"/>
      <c r="E43" s="62"/>
      <c r="F43" s="229">
        <f>$K$29</f>
        <v>3992</v>
      </c>
      <c r="G43" s="230"/>
      <c r="H43" s="230">
        <f>$D$23</f>
        <v>0</v>
      </c>
      <c r="I43" s="230"/>
      <c r="J43" s="230"/>
      <c r="K43" s="231">
        <f>$C$43-$H$43+$F$43+$O$43</f>
        <v>23017</v>
      </c>
      <c r="L43" s="231"/>
      <c r="M43" s="63">
        <f>SUM($K$43)/$D$9</f>
        <v>0.11508500000000001</v>
      </c>
      <c r="N43" s="64">
        <f>$G$36</f>
        <v>1329.0887924294552</v>
      </c>
      <c r="O43" s="103"/>
      <c r="P43" s="23"/>
      <c r="Q43" s="125"/>
    </row>
    <row r="44" spans="2:25" ht="24.75" customHeight="1">
      <c r="B44" s="65" t="s">
        <v>41</v>
      </c>
      <c r="C44" s="232">
        <f>SUM($E$10)</f>
        <v>196443</v>
      </c>
      <c r="D44" s="233"/>
      <c r="E44" s="66"/>
      <c r="F44" s="234">
        <f>$K$30</f>
        <v>107737</v>
      </c>
      <c r="G44" s="235"/>
      <c r="H44" s="235">
        <f>$L$23</f>
        <v>0</v>
      </c>
      <c r="I44" s="235"/>
      <c r="J44" s="235"/>
      <c r="K44" s="236">
        <f>$C$44-$H$44+$F$44+$O$44</f>
        <v>304180</v>
      </c>
      <c r="L44" s="236"/>
      <c r="M44" s="67">
        <f>SUM($K$44)/D10</f>
        <v>0.60836000000000001</v>
      </c>
      <c r="N44" s="68">
        <f>$G$37</f>
        <v>1808.9369254611015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>
    <pageSetUpPr fitToPage="1"/>
  </sheetPr>
  <dimension ref="B1:Y124"/>
  <sheetViews>
    <sheetView showGridLines="0" topLeftCell="A28" zoomScaleNormal="100" workbookViewId="0">
      <selection activeCell="O44" sqref="O44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SUM('0609 (입고)'!$K$43:$L$43)</f>
        <v>23017</v>
      </c>
      <c r="F9" s="42">
        <f>SUM(E9)/D9</f>
        <v>0.11508500000000001</v>
      </c>
      <c r="G9" s="10">
        <f>SUM('0609 (입고)'!$N$43)</f>
        <v>1329.0887924294552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SUM('0609 (입고)'!$K$44:$L$44)</f>
        <v>304180</v>
      </c>
      <c r="F10" s="44">
        <f>SUM(E10)/D10</f>
        <v>0.60836000000000001</v>
      </c>
      <c r="G10" s="13">
        <f>SUM('0609 (입고)'!$N$44)</f>
        <v>1808.9369254611015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 t="s">
        <v>51</v>
      </c>
      <c r="D16" s="37">
        <v>4000</v>
      </c>
      <c r="E16" s="37"/>
      <c r="F16" s="77">
        <f t="shared" ref="F16:F22" si="0">IF(D16="","",(SUM($G$9)))</f>
        <v>1329.0887924294552</v>
      </c>
      <c r="G16" s="78">
        <f t="shared" ref="G16:G22" si="1">IF(D16="","",(SUM(E16)-F16))</f>
        <v>-1329.0887924294552</v>
      </c>
      <c r="H16" s="79">
        <f t="shared" ref="H16:H22" si="2">IF(D16="","",(D16*G16))</f>
        <v>-5316355.1697178213</v>
      </c>
      <c r="I16" s="17"/>
      <c r="J16" s="159" t="s">
        <v>22</v>
      </c>
      <c r="K16" s="110" t="s">
        <v>73</v>
      </c>
      <c r="L16" s="16">
        <v>8000</v>
      </c>
      <c r="M16" s="37"/>
      <c r="N16" s="94">
        <f t="shared" ref="N16:N22" si="3">IF(L16="","",($G$10))</f>
        <v>1808.9369254611015</v>
      </c>
      <c r="O16" s="95">
        <f t="shared" ref="O16:O22" si="4">IF(L16="","",(SUM(M16)-N16))</f>
        <v>-1808.9369254611015</v>
      </c>
      <c r="P16" s="96">
        <f t="shared" ref="P16:P22" si="5">IF(L16="","",(L16*O16))</f>
        <v>-14471495.403688813</v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 t="s">
        <v>51</v>
      </c>
      <c r="L17" s="16">
        <v>20000</v>
      </c>
      <c r="M17" s="16"/>
      <c r="N17" s="97">
        <f t="shared" si="3"/>
        <v>1808.9369254611015</v>
      </c>
      <c r="O17" s="98">
        <f t="shared" si="4"/>
        <v>-1808.9369254611015</v>
      </c>
      <c r="P17" s="99">
        <f t="shared" si="5"/>
        <v>-36178738.509222031</v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36" t="s">
        <v>52</v>
      </c>
      <c r="L18" s="37">
        <v>12000</v>
      </c>
      <c r="M18" s="16"/>
      <c r="N18" s="97">
        <f t="shared" si="3"/>
        <v>1808.9369254611015</v>
      </c>
      <c r="O18" s="98">
        <f t="shared" si="4"/>
        <v>-1808.9369254611015</v>
      </c>
      <c r="P18" s="99">
        <f t="shared" si="5"/>
        <v>-21707243.10553322</v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36" t="s">
        <v>54</v>
      </c>
      <c r="L19" s="37">
        <v>16000</v>
      </c>
      <c r="M19" s="16"/>
      <c r="N19" s="97">
        <f t="shared" si="3"/>
        <v>1808.9369254611015</v>
      </c>
      <c r="O19" s="98">
        <f t="shared" si="4"/>
        <v>-1808.9369254611015</v>
      </c>
      <c r="P19" s="99">
        <f t="shared" si="5"/>
        <v>-28942990.807377625</v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 t="s">
        <v>74</v>
      </c>
      <c r="L20" s="16">
        <v>20000</v>
      </c>
      <c r="M20" s="16"/>
      <c r="N20" s="97">
        <f t="shared" si="3"/>
        <v>1808.9369254611015</v>
      </c>
      <c r="O20" s="98">
        <f t="shared" si="4"/>
        <v>-1808.9369254611015</v>
      </c>
      <c r="P20" s="99">
        <f t="shared" si="5"/>
        <v>-36178738.509222031</v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 t="s">
        <v>93</v>
      </c>
      <c r="L21" s="16">
        <v>16000</v>
      </c>
      <c r="M21" s="16"/>
      <c r="N21" s="97">
        <f t="shared" si="3"/>
        <v>1808.9369254611015</v>
      </c>
      <c r="O21" s="98">
        <f t="shared" si="4"/>
        <v>-1808.9369254611015</v>
      </c>
      <c r="P21" s="99">
        <f t="shared" si="5"/>
        <v>-28942990.807377625</v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 t="s">
        <v>87</v>
      </c>
      <c r="L22" s="46">
        <v>8000</v>
      </c>
      <c r="M22" s="46"/>
      <c r="N22" s="100">
        <f t="shared" si="3"/>
        <v>1808.9369254611015</v>
      </c>
      <c r="O22" s="101">
        <f t="shared" si="4"/>
        <v>-1808.9369254611015</v>
      </c>
      <c r="P22" s="102">
        <f t="shared" si="5"/>
        <v>-14471495.403688813</v>
      </c>
    </row>
    <row r="23" spans="2:18" ht="24" customHeight="1">
      <c r="B23" s="72" t="s">
        <v>24</v>
      </c>
      <c r="C23" s="73"/>
      <c r="D23" s="74">
        <f>SUM(D16:D22)</f>
        <v>4000</v>
      </c>
      <c r="E23" s="75"/>
      <c r="F23" s="75"/>
      <c r="G23" s="75"/>
      <c r="H23" s="76">
        <f>SUM(H16:H22)</f>
        <v>-5316355.1697178213</v>
      </c>
      <c r="I23" s="106"/>
      <c r="J23" s="89" t="s">
        <v>24</v>
      </c>
      <c r="K23" s="90"/>
      <c r="L23" s="91">
        <f>SUM(L16:L22)</f>
        <v>100000</v>
      </c>
      <c r="M23" s="92"/>
      <c r="N23" s="92"/>
      <c r="O23" s="92"/>
      <c r="P23" s="93">
        <f>SUM(P16:P22)</f>
        <v>-180893692.54611018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19017</v>
      </c>
      <c r="D29" s="177"/>
      <c r="E29" s="178">
        <f>$G$9</f>
        <v>1329.0887924294552</v>
      </c>
      <c r="F29" s="178"/>
      <c r="G29" s="177">
        <f>C29*E29</f>
        <v>25275281.56563095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204180</v>
      </c>
      <c r="D30" s="174"/>
      <c r="E30" s="185">
        <f>$G$10</f>
        <v>1808.9369254611015</v>
      </c>
      <c r="F30" s="185"/>
      <c r="G30" s="174">
        <f>C30*E30</f>
        <v>369348741.44064772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19017</v>
      </c>
      <c r="D36" s="177"/>
      <c r="E36" s="177">
        <f>$G$29+$O$29</f>
        <v>25275281.56563095</v>
      </c>
      <c r="F36" s="177"/>
      <c r="G36" s="178">
        <f>E36/C36</f>
        <v>1329.0887924294552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204180</v>
      </c>
      <c r="D37" s="174"/>
      <c r="E37" s="174">
        <f>$G$30+$O$30</f>
        <v>369348741.44064772</v>
      </c>
      <c r="F37" s="174"/>
      <c r="G37" s="185">
        <f>E37/C37</f>
        <v>1808.9369254611015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23017</v>
      </c>
      <c r="D43" s="228"/>
      <c r="E43" s="62"/>
      <c r="F43" s="229">
        <f>$K$29</f>
        <v>0</v>
      </c>
      <c r="G43" s="230"/>
      <c r="H43" s="230">
        <f>$D$23</f>
        <v>4000</v>
      </c>
      <c r="I43" s="230"/>
      <c r="J43" s="230"/>
      <c r="K43" s="231">
        <f>$C$43-$H$43+$F$43+$O$43</f>
        <v>14935</v>
      </c>
      <c r="L43" s="231"/>
      <c r="M43" s="63">
        <f>SUM($K$43)/$D$9</f>
        <v>7.4675000000000005E-2</v>
      </c>
      <c r="N43" s="64">
        <f>$G$36</f>
        <v>1329.0887924294552</v>
      </c>
      <c r="O43" s="103">
        <v>-4082</v>
      </c>
      <c r="P43" s="23"/>
      <c r="Q43" s="125"/>
    </row>
    <row r="44" spans="2:25" ht="24.75" customHeight="1">
      <c r="B44" s="65" t="s">
        <v>41</v>
      </c>
      <c r="C44" s="232">
        <f>SUM($E$10)</f>
        <v>304180</v>
      </c>
      <c r="D44" s="233"/>
      <c r="E44" s="66"/>
      <c r="F44" s="234">
        <f>$K$30</f>
        <v>0</v>
      </c>
      <c r="G44" s="235"/>
      <c r="H44" s="235">
        <f>$L$23</f>
        <v>100000</v>
      </c>
      <c r="I44" s="235"/>
      <c r="J44" s="235"/>
      <c r="K44" s="236">
        <f>$C$44-$H$44+$F$44+$O$44</f>
        <v>197865</v>
      </c>
      <c r="L44" s="236"/>
      <c r="M44" s="67">
        <f>SUM($K$44)/D10</f>
        <v>0.39573000000000003</v>
      </c>
      <c r="N44" s="68">
        <f>$G$37</f>
        <v>1808.9369254611015</v>
      </c>
      <c r="O44" s="104">
        <v>-6315</v>
      </c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>
    <pageSetUpPr fitToPage="1"/>
  </sheetPr>
  <dimension ref="B1:Y124"/>
  <sheetViews>
    <sheetView showGridLines="0" topLeftCell="A28" zoomScaleNormal="100" workbookViewId="0">
      <selection activeCell="R46" sqref="R46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SUM('0609'!$K$43:$L$43)</f>
        <v>14935</v>
      </c>
      <c r="F9" s="42">
        <f>SUM(E9)/D9</f>
        <v>7.4675000000000005E-2</v>
      </c>
      <c r="G9" s="10">
        <f>SUM('0609'!$N$43)</f>
        <v>1329.0887924294552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SUM('0609'!$K$44:$L$44)</f>
        <v>197865</v>
      </c>
      <c r="F10" s="44">
        <f>SUM(E10)/D10</f>
        <v>0.39573000000000003</v>
      </c>
      <c r="G10" s="13">
        <f>SUM('0609'!$N$44)</f>
        <v>1808.9369254611015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110" t="s">
        <v>75</v>
      </c>
      <c r="L16" s="16">
        <v>32000</v>
      </c>
      <c r="M16" s="37"/>
      <c r="N16" s="94">
        <f t="shared" ref="N16:N22" si="3">IF(L16="","",($G$10))</f>
        <v>1808.9369254611015</v>
      </c>
      <c r="O16" s="95">
        <f t="shared" ref="O16:O22" si="4">IF(L16="","",(SUM(M16)-N16))</f>
        <v>-1808.9369254611015</v>
      </c>
      <c r="P16" s="96">
        <f t="shared" ref="P16:P22" si="5">IF(L16="","",(L16*O16))</f>
        <v>-57885981.614755251</v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 t="s">
        <v>89</v>
      </c>
      <c r="L17" s="16">
        <v>24000</v>
      </c>
      <c r="M17" s="16"/>
      <c r="N17" s="97">
        <f t="shared" si="3"/>
        <v>1808.9369254611015</v>
      </c>
      <c r="O17" s="98">
        <f t="shared" si="4"/>
        <v>-1808.9369254611015</v>
      </c>
      <c r="P17" s="99">
        <f t="shared" si="5"/>
        <v>-43414486.21106644</v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36" t="s">
        <v>49</v>
      </c>
      <c r="L18" s="37">
        <v>8000</v>
      </c>
      <c r="M18" s="16"/>
      <c r="N18" s="97">
        <f t="shared" si="3"/>
        <v>1808.9369254611015</v>
      </c>
      <c r="O18" s="98">
        <f t="shared" si="4"/>
        <v>-1808.9369254611015</v>
      </c>
      <c r="P18" s="99">
        <f t="shared" si="5"/>
        <v>-14471495.403688813</v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36" t="s">
        <v>79</v>
      </c>
      <c r="L19" s="37">
        <v>8000</v>
      </c>
      <c r="M19" s="16"/>
      <c r="N19" s="97">
        <f t="shared" si="3"/>
        <v>1808.9369254611015</v>
      </c>
      <c r="O19" s="98">
        <f t="shared" si="4"/>
        <v>-1808.9369254611015</v>
      </c>
      <c r="P19" s="99">
        <f t="shared" si="5"/>
        <v>-14471495.403688813</v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 t="s">
        <v>81</v>
      </c>
      <c r="L20" s="16">
        <v>20000</v>
      </c>
      <c r="M20" s="16"/>
      <c r="N20" s="97">
        <f t="shared" si="3"/>
        <v>1808.9369254611015</v>
      </c>
      <c r="O20" s="98">
        <f t="shared" si="4"/>
        <v>-1808.9369254611015</v>
      </c>
      <c r="P20" s="99">
        <f t="shared" si="5"/>
        <v>-36178738.509222031</v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92000</v>
      </c>
      <c r="M23" s="92"/>
      <c r="N23" s="92"/>
      <c r="O23" s="92"/>
      <c r="P23" s="93">
        <f>SUM(P16:P22)</f>
        <v>-166422197.14242136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14935</v>
      </c>
      <c r="D29" s="177"/>
      <c r="E29" s="178">
        <f>$G$9</f>
        <v>1329.0887924294552</v>
      </c>
      <c r="F29" s="178"/>
      <c r="G29" s="177">
        <f>C29*E29</f>
        <v>19849941.114933915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105865</v>
      </c>
      <c r="D30" s="174"/>
      <c r="E30" s="185">
        <f>$G$10</f>
        <v>1808.9369254611015</v>
      </c>
      <c r="F30" s="185"/>
      <c r="G30" s="174">
        <f>C30*E30</f>
        <v>191503107.61393952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14935</v>
      </c>
      <c r="D36" s="177"/>
      <c r="E36" s="177">
        <f>$G$29+$O$29</f>
        <v>19849941.114933915</v>
      </c>
      <c r="F36" s="177"/>
      <c r="G36" s="178">
        <f>E36/C36</f>
        <v>1329.0887924294552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105865</v>
      </c>
      <c r="D37" s="174"/>
      <c r="E37" s="174">
        <f>$G$30+$O$30</f>
        <v>191503107.61393952</v>
      </c>
      <c r="F37" s="174"/>
      <c r="G37" s="185">
        <f>E37/C37</f>
        <v>1808.9369254611017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14935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14935</v>
      </c>
      <c r="L43" s="231"/>
      <c r="M43" s="63">
        <f>SUM($K$43)/$D$9</f>
        <v>7.4675000000000005E-2</v>
      </c>
      <c r="N43" s="64">
        <f>$G$36</f>
        <v>1329.0887924294552</v>
      </c>
      <c r="O43" s="103"/>
      <c r="P43" s="23"/>
      <c r="Q43" s="125"/>
    </row>
    <row r="44" spans="2:25" ht="24.75" customHeight="1">
      <c r="B44" s="65" t="s">
        <v>41</v>
      </c>
      <c r="C44" s="232">
        <f>SUM($E$10)</f>
        <v>197865</v>
      </c>
      <c r="D44" s="233"/>
      <c r="E44" s="66"/>
      <c r="F44" s="234">
        <f>$K$30</f>
        <v>0</v>
      </c>
      <c r="G44" s="235"/>
      <c r="H44" s="235">
        <f>$L$23</f>
        <v>92000</v>
      </c>
      <c r="I44" s="235"/>
      <c r="J44" s="235"/>
      <c r="K44" s="236">
        <f>$C$44-$H$44+$F$44+$O$44</f>
        <v>105865</v>
      </c>
      <c r="L44" s="236"/>
      <c r="M44" s="67">
        <f>SUM($K$44)/D10</f>
        <v>0.21173</v>
      </c>
      <c r="N44" s="68">
        <f>$G$37</f>
        <v>1808.9369254611017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5:C46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>
    <pageSetUpPr fitToPage="1"/>
  </sheetPr>
  <dimension ref="B1:Y124"/>
  <sheetViews>
    <sheetView showGridLines="0" topLeftCell="A34" zoomScaleNormal="100" workbookViewId="0">
      <selection activeCell="R42" sqref="R42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SUM('0617'!$K$43:$L$43)</f>
        <v>14935</v>
      </c>
      <c r="F9" s="42">
        <f>SUM(E9)/D9</f>
        <v>7.4675000000000005E-2</v>
      </c>
      <c r="G9" s="10">
        <f>SUM('0617'!$N$43)</f>
        <v>1329.0887924294552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SUM('0617'!$K$44:$L$44)</f>
        <v>105865</v>
      </c>
      <c r="F10" s="44">
        <f>SUM(E10)/D10</f>
        <v>0.21173</v>
      </c>
      <c r="G10" s="13">
        <f>SUM('0617'!$N$44)</f>
        <v>1808.9369254611017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110" t="s">
        <v>94</v>
      </c>
      <c r="L16" s="16">
        <v>12000</v>
      </c>
      <c r="M16" s="37"/>
      <c r="N16" s="94">
        <f t="shared" ref="N16:N22" si="3">IF(L16="","",($G$10))</f>
        <v>1808.9369254611017</v>
      </c>
      <c r="O16" s="95">
        <f t="shared" ref="O16:O22" si="4">IF(L16="","",(SUM(M16)-N16))</f>
        <v>-1808.9369254611017</v>
      </c>
      <c r="P16" s="96">
        <f t="shared" ref="P16:P22" si="5">IF(L16="","",(L16*O16))</f>
        <v>-21707243.10553322</v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 t="s">
        <v>95</v>
      </c>
      <c r="L17" s="16">
        <v>16000</v>
      </c>
      <c r="M17" s="16"/>
      <c r="N17" s="97">
        <f t="shared" si="3"/>
        <v>1808.9369254611017</v>
      </c>
      <c r="O17" s="98">
        <f t="shared" si="4"/>
        <v>-1808.9369254611017</v>
      </c>
      <c r="P17" s="99">
        <f t="shared" si="5"/>
        <v>-28942990.807377629</v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36"/>
      <c r="L18" s="37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36"/>
      <c r="L19" s="37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28000</v>
      </c>
      <c r="M23" s="92"/>
      <c r="N23" s="92"/>
      <c r="O23" s="92"/>
      <c r="P23" s="93">
        <f>SUM(P16:P22)</f>
        <v>-50650233.912910849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14935</v>
      </c>
      <c r="D29" s="177"/>
      <c r="E29" s="178">
        <f>$G$9</f>
        <v>1329.0887924294552</v>
      </c>
      <c r="F29" s="178"/>
      <c r="G29" s="177">
        <f>C29*E29</f>
        <v>19849941.114933915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77865</v>
      </c>
      <c r="D30" s="174"/>
      <c r="E30" s="185">
        <f>$G$10</f>
        <v>1808.9369254611017</v>
      </c>
      <c r="F30" s="185"/>
      <c r="G30" s="174">
        <f>C30*E30</f>
        <v>140852873.70102867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14935</v>
      </c>
      <c r="D36" s="177"/>
      <c r="E36" s="177">
        <f>$G$29+$O$29</f>
        <v>19849941.114933915</v>
      </c>
      <c r="F36" s="177"/>
      <c r="G36" s="178">
        <f>E36/C36</f>
        <v>1329.0887924294552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77865</v>
      </c>
      <c r="D37" s="174"/>
      <c r="E37" s="174">
        <f>$G$30+$O$30</f>
        <v>140852873.70102867</v>
      </c>
      <c r="F37" s="174"/>
      <c r="G37" s="185">
        <f>E37/C37</f>
        <v>1808.9369254611015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14935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14935</v>
      </c>
      <c r="L43" s="231"/>
      <c r="M43" s="63">
        <f>SUM($K$43)/$D$9</f>
        <v>7.4675000000000005E-2</v>
      </c>
      <c r="N43" s="64">
        <f>$G$36</f>
        <v>1329.0887924294552</v>
      </c>
      <c r="O43" s="103"/>
      <c r="P43" s="23"/>
      <c r="Q43" s="125"/>
    </row>
    <row r="44" spans="2:25" ht="24.75" customHeight="1">
      <c r="B44" s="65" t="s">
        <v>41</v>
      </c>
      <c r="C44" s="232">
        <f>SUM($E$10)</f>
        <v>105865</v>
      </c>
      <c r="D44" s="233"/>
      <c r="E44" s="66"/>
      <c r="F44" s="234">
        <f>$K$30</f>
        <v>0</v>
      </c>
      <c r="G44" s="235"/>
      <c r="H44" s="235">
        <f>$L$23</f>
        <v>28000</v>
      </c>
      <c r="I44" s="235"/>
      <c r="J44" s="235"/>
      <c r="K44" s="236">
        <f>$C$44-$H$44+$F$44+$O$44</f>
        <v>77865</v>
      </c>
      <c r="L44" s="236"/>
      <c r="M44" s="67">
        <f>SUM($K$44)/D10</f>
        <v>0.15573000000000001</v>
      </c>
      <c r="N44" s="68">
        <f>$G$37</f>
        <v>1808.9369254611015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>
    <tabColor rgb="FFFFFF00"/>
    <pageSetUpPr fitToPage="1"/>
  </sheetPr>
  <dimension ref="B1:Y124"/>
  <sheetViews>
    <sheetView showGridLines="0" topLeftCell="A16" zoomScaleNormal="100" workbookViewId="0">
      <selection activeCell="P34" sqref="P34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SUM('0619'!$K$43:$L$43)</f>
        <v>14935</v>
      </c>
      <c r="F9" s="42">
        <f>SUM(E9)/D9</f>
        <v>7.4675000000000005E-2</v>
      </c>
      <c r="G9" s="10">
        <f>SUM('0619'!$N$43)</f>
        <v>1329.0887924294552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SUM('0619'!$K$44:$L$44)</f>
        <v>77865</v>
      </c>
      <c r="F10" s="44">
        <f>SUM(E10)/D10</f>
        <v>0.15573000000000001</v>
      </c>
      <c r="G10" s="13">
        <f>SUM('0619'!$N$44)</f>
        <v>1808.9369254611015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110"/>
      <c r="L16" s="16"/>
      <c r="M16" s="37"/>
      <c r="N16" s="94" t="str">
        <f t="shared" ref="N16:N22" si="3">IF(L16="","",($G$10))</f>
        <v/>
      </c>
      <c r="O16" s="95" t="str">
        <f t="shared" ref="O16:O22" si="4">IF(L16="","",(SUM(M16)-N16))</f>
        <v/>
      </c>
      <c r="P16" s="96" t="str">
        <f t="shared" ref="P16:P22" si="5">IF(L16="","",(L16*O16))</f>
        <v/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36"/>
      <c r="L18" s="37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36"/>
      <c r="L19" s="37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0</v>
      </c>
      <c r="M23" s="92"/>
      <c r="N23" s="92"/>
      <c r="O23" s="92"/>
      <c r="P23" s="93">
        <f>SUM(P16:P22)</f>
        <v>0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14935</v>
      </c>
      <c r="D29" s="177"/>
      <c r="E29" s="178">
        <f>$G$9</f>
        <v>1329.0887924294552</v>
      </c>
      <c r="F29" s="178"/>
      <c r="G29" s="177">
        <f>C29*E29</f>
        <v>19849941.114933915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77865</v>
      </c>
      <c r="D30" s="174"/>
      <c r="E30" s="185">
        <f>$G$10</f>
        <v>1808.9369254611015</v>
      </c>
      <c r="F30" s="185"/>
      <c r="G30" s="174">
        <f>C30*E30</f>
        <v>140852873.70102867</v>
      </c>
      <c r="H30" s="175"/>
      <c r="I30" s="17"/>
      <c r="J30" s="50" t="s">
        <v>11</v>
      </c>
      <c r="K30" s="186">
        <v>11916</v>
      </c>
      <c r="L30" s="187"/>
      <c r="M30" s="188">
        <v>1899.12294664502</v>
      </c>
      <c r="N30" s="189"/>
      <c r="O30" s="174">
        <f>K30*M30</f>
        <v>22629949.032222059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14935</v>
      </c>
      <c r="D36" s="177"/>
      <c r="E36" s="177">
        <f>$G$29+$O$29</f>
        <v>19849941.114933915</v>
      </c>
      <c r="F36" s="177"/>
      <c r="G36" s="178">
        <f>E36/C36</f>
        <v>1329.0887924294552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89781</v>
      </c>
      <c r="D37" s="174"/>
      <c r="E37" s="174">
        <f>$G$30+$O$30</f>
        <v>163482822.73325074</v>
      </c>
      <c r="F37" s="174"/>
      <c r="G37" s="185">
        <f>E37/C37</f>
        <v>1820.9066810711702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14935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14935</v>
      </c>
      <c r="L43" s="231"/>
      <c r="M43" s="63">
        <f>SUM($K$43)/$D$9</f>
        <v>7.4675000000000005E-2</v>
      </c>
      <c r="N43" s="64">
        <f>$G$36</f>
        <v>1329.0887924294552</v>
      </c>
      <c r="O43" s="103"/>
      <c r="P43" s="23"/>
      <c r="Q43" s="125"/>
    </row>
    <row r="44" spans="2:25" ht="24.75" customHeight="1">
      <c r="B44" s="65" t="s">
        <v>41</v>
      </c>
      <c r="C44" s="232">
        <f>SUM($E$10)</f>
        <v>77865</v>
      </c>
      <c r="D44" s="233"/>
      <c r="E44" s="66"/>
      <c r="F44" s="234">
        <f>$K$30</f>
        <v>11916</v>
      </c>
      <c r="G44" s="235"/>
      <c r="H44" s="235">
        <f>$L$23</f>
        <v>0</v>
      </c>
      <c r="I44" s="235"/>
      <c r="J44" s="235"/>
      <c r="K44" s="236">
        <f>$C$44-$H$44+$F$44+$O$44</f>
        <v>89781</v>
      </c>
      <c r="L44" s="236"/>
      <c r="M44" s="67">
        <f>SUM($K$44)/D10</f>
        <v>0.179562</v>
      </c>
      <c r="N44" s="68">
        <f>$G$37</f>
        <v>1820.9066810711702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5:C46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>
    <pageSetUpPr fitToPage="1"/>
  </sheetPr>
  <dimension ref="B1:Y124"/>
  <sheetViews>
    <sheetView showGridLines="0" topLeftCell="A28" zoomScaleNormal="100" workbookViewId="0">
      <selection activeCell="L39" sqref="L39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SUM('0622 (입고)'!$K$43:$L$43)</f>
        <v>14935</v>
      </c>
      <c r="F9" s="42">
        <f>SUM(E9)/D9</f>
        <v>7.4675000000000005E-2</v>
      </c>
      <c r="G9" s="10">
        <f>SUM('0622 (입고)'!$N$43)</f>
        <v>1329.0887924294552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SUM('0622 (입고)'!$K$44:$L$44)</f>
        <v>89781</v>
      </c>
      <c r="F10" s="44">
        <f>SUM(E10)/D10</f>
        <v>0.179562</v>
      </c>
      <c r="G10" s="13">
        <f>SUM('0622 (입고)'!$N$44)</f>
        <v>1820.9066810711702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110" t="s">
        <v>55</v>
      </c>
      <c r="L16" s="16">
        <v>10000</v>
      </c>
      <c r="M16" s="37"/>
      <c r="N16" s="94">
        <f t="shared" ref="N16:N22" si="3">IF(L16="","",($G$10))</f>
        <v>1820.9066810711702</v>
      </c>
      <c r="O16" s="95">
        <f t="shared" ref="O16:O22" si="4">IF(L16="","",(SUM(M16)-N16))</f>
        <v>-1820.9066810711702</v>
      </c>
      <c r="P16" s="96">
        <f t="shared" ref="P16:P22" si="5">IF(L16="","",(L16*O16))</f>
        <v>-18209066.8107117</v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 t="s">
        <v>61</v>
      </c>
      <c r="L17" s="16">
        <v>3000</v>
      </c>
      <c r="M17" s="16"/>
      <c r="N17" s="97">
        <f t="shared" si="3"/>
        <v>1820.9066810711702</v>
      </c>
      <c r="O17" s="98">
        <f t="shared" si="4"/>
        <v>-1820.9066810711702</v>
      </c>
      <c r="P17" s="99">
        <f t="shared" si="5"/>
        <v>-5462720.0432135109</v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36"/>
      <c r="L18" s="37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36"/>
      <c r="L19" s="37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13000</v>
      </c>
      <c r="M23" s="92"/>
      <c r="N23" s="92"/>
      <c r="O23" s="92"/>
      <c r="P23" s="93">
        <f>SUM(P16:P22)</f>
        <v>-23671786.853925213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14935</v>
      </c>
      <c r="D29" s="177"/>
      <c r="E29" s="178">
        <f>$G$9</f>
        <v>1329.0887924294552</v>
      </c>
      <c r="F29" s="178"/>
      <c r="G29" s="177">
        <f>C29*E29</f>
        <v>19849941.114933915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76781</v>
      </c>
      <c r="D30" s="174"/>
      <c r="E30" s="185">
        <f>$G$10</f>
        <v>1820.9066810711702</v>
      </c>
      <c r="F30" s="185"/>
      <c r="G30" s="174">
        <f>C30*E30</f>
        <v>139811035.87932551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14935</v>
      </c>
      <c r="D36" s="177"/>
      <c r="E36" s="177">
        <f>$G$29+$O$29</f>
        <v>19849941.114933915</v>
      </c>
      <c r="F36" s="177"/>
      <c r="G36" s="178">
        <f>E36/C36</f>
        <v>1329.0887924294552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76781</v>
      </c>
      <c r="D37" s="174"/>
      <c r="E37" s="174">
        <f>$G$30+$O$30</f>
        <v>139811035.87932551</v>
      </c>
      <c r="F37" s="174"/>
      <c r="G37" s="185">
        <f>E37/C37</f>
        <v>1820.9066810711702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14935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14935</v>
      </c>
      <c r="L43" s="231"/>
      <c r="M43" s="63">
        <f>SUM($K$43)/$D$9</f>
        <v>7.4675000000000005E-2</v>
      </c>
      <c r="N43" s="64">
        <f>$G$36</f>
        <v>1329.0887924294552</v>
      </c>
      <c r="O43" s="103"/>
      <c r="P43" s="23"/>
      <c r="Q43" s="125"/>
    </row>
    <row r="44" spans="2:25" ht="24.75" customHeight="1">
      <c r="B44" s="65" t="s">
        <v>41</v>
      </c>
      <c r="C44" s="232">
        <f>SUM($E$10)</f>
        <v>89781</v>
      </c>
      <c r="D44" s="233"/>
      <c r="E44" s="66"/>
      <c r="F44" s="234">
        <f>$K$30</f>
        <v>0</v>
      </c>
      <c r="G44" s="235"/>
      <c r="H44" s="235">
        <f>$L$23</f>
        <v>13000</v>
      </c>
      <c r="I44" s="235"/>
      <c r="J44" s="235"/>
      <c r="K44" s="236">
        <f>$C$44-$H$44+$F$44+$O$44</f>
        <v>76781</v>
      </c>
      <c r="L44" s="236"/>
      <c r="M44" s="67">
        <f>SUM($K$44)/D10</f>
        <v>0.153562</v>
      </c>
      <c r="N44" s="68">
        <f>$G$37</f>
        <v>1820.9066810711702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5:C46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>
    <tabColor theme="9" tint="0.79998168889431442"/>
    <pageSetUpPr fitToPage="1"/>
  </sheetPr>
  <dimension ref="B1:Y124"/>
  <sheetViews>
    <sheetView showGridLines="0" topLeftCell="A25" zoomScaleNormal="100" workbookViewId="0">
      <selection activeCell="P38" sqref="P38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 thickBo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 thickTop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SUM('0627'!$K$43:$L$43)</f>
        <v>14935</v>
      </c>
      <c r="F9" s="42">
        <f>SUM(E9)/D9</f>
        <v>7.4675000000000005E-2</v>
      </c>
      <c r="G9" s="10">
        <f>SUM('0627'!$N$43)</f>
        <v>1329.0887924294552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SUM('0627'!$K$44:$L$44)</f>
        <v>76781</v>
      </c>
      <c r="F10" s="44">
        <f>SUM(E10)/D10</f>
        <v>0.153562</v>
      </c>
      <c r="G10" s="13">
        <f>SUM('0627'!$N$44)</f>
        <v>1820.9066810711702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110"/>
      <c r="L16" s="16"/>
      <c r="M16" s="37"/>
      <c r="N16" s="94" t="str">
        <f t="shared" ref="N16:N22" si="3">IF(L16="","",($G$10))</f>
        <v/>
      </c>
      <c r="O16" s="95" t="str">
        <f t="shared" ref="O16:O22" si="4">IF(L16="","",(SUM(M16)-N16))</f>
        <v/>
      </c>
      <c r="P16" s="96" t="str">
        <f t="shared" ref="P16:P22" si="5">IF(L16="","",(L16*O16))</f>
        <v/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36"/>
      <c r="L18" s="37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36"/>
      <c r="L19" s="37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0</v>
      </c>
      <c r="M23" s="92"/>
      <c r="N23" s="92"/>
      <c r="O23" s="92"/>
      <c r="P23" s="93">
        <f>SUM(P16:P22)</f>
        <v>0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14935</v>
      </c>
      <c r="D29" s="177"/>
      <c r="E29" s="178">
        <f>$G$9</f>
        <v>1329.0887924294552</v>
      </c>
      <c r="F29" s="178"/>
      <c r="G29" s="177">
        <f>C29*E29</f>
        <v>19849941.114933915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76781</v>
      </c>
      <c r="D30" s="174"/>
      <c r="E30" s="185">
        <f>$G$10</f>
        <v>1820.9066810711702</v>
      </c>
      <c r="F30" s="185"/>
      <c r="G30" s="174">
        <f>C30*E30</f>
        <v>139811035.87932551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27" t="s">
        <v>96</v>
      </c>
      <c r="L35" s="18" t="s">
        <v>97</v>
      </c>
      <c r="M35" s="18" t="s">
        <v>98</v>
      </c>
      <c r="N35" s="18"/>
      <c r="O35" s="19"/>
      <c r="P35" s="19"/>
    </row>
    <row r="36" spans="2:25" ht="24" customHeight="1">
      <c r="B36" s="49" t="s">
        <v>9</v>
      </c>
      <c r="C36" s="176">
        <f>$C$29+$K$29</f>
        <v>14935</v>
      </c>
      <c r="D36" s="177"/>
      <c r="E36" s="177">
        <f>$G$29+$O$29-K36-L36-M36</f>
        <v>19638741.678679872</v>
      </c>
      <c r="F36" s="177"/>
      <c r="G36" s="178">
        <f>E36/C36</f>
        <v>1314.9475513009622</v>
      </c>
      <c r="H36" s="214"/>
      <c r="I36" s="17"/>
      <c r="J36" s="17"/>
      <c r="K36" s="126">
        <v>119760</v>
      </c>
      <c r="L36" s="131">
        <v>91439.436254044835</v>
      </c>
      <c r="M36" s="131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76781</v>
      </c>
      <c r="D37" s="174"/>
      <c r="E37" s="174">
        <f>$G$30+$O$30-K37-L37-M37</f>
        <v>134366750</v>
      </c>
      <c r="F37" s="174"/>
      <c r="G37" s="185">
        <f>E37/C37</f>
        <v>1750</v>
      </c>
      <c r="H37" s="212"/>
      <c r="I37" s="17"/>
      <c r="J37" s="18"/>
      <c r="K37" s="132"/>
      <c r="L37" s="131"/>
      <c r="M37" s="131">
        <v>5444285.8793255091</v>
      </c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14935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14935</v>
      </c>
      <c r="L43" s="231"/>
      <c r="M43" s="63">
        <f>SUM($K$43)/$D$9</f>
        <v>7.4675000000000005E-2</v>
      </c>
      <c r="N43" s="64">
        <f>$G$36</f>
        <v>1314.9475513009622</v>
      </c>
      <c r="O43" s="103"/>
      <c r="P43" s="23"/>
      <c r="Q43" s="125"/>
    </row>
    <row r="44" spans="2:25" ht="24.75" customHeight="1">
      <c r="B44" s="65" t="s">
        <v>41</v>
      </c>
      <c r="C44" s="232">
        <f>SUM($E$10)</f>
        <v>76781</v>
      </c>
      <c r="D44" s="233"/>
      <c r="E44" s="66"/>
      <c r="F44" s="234">
        <f>$K$30</f>
        <v>0</v>
      </c>
      <c r="G44" s="235"/>
      <c r="H44" s="235">
        <f>$L$23</f>
        <v>0</v>
      </c>
      <c r="I44" s="235"/>
      <c r="J44" s="235"/>
      <c r="K44" s="236">
        <f>$C$44-$H$44+$F$44+$O$44</f>
        <v>76781</v>
      </c>
      <c r="L44" s="236"/>
      <c r="M44" s="67">
        <f>SUM($K$44)/D10</f>
        <v>0.153562</v>
      </c>
      <c r="N44" s="68">
        <f>$G$37</f>
        <v>1750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 r:id="rId1"/>
  <headerFooter alignWithMargins="0"/>
  <rowBreaks count="1" manualBreakCount="1">
    <brk id="22" min="1" max="18" man="1"/>
  </rowBreaks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>
    <pageSetUpPr fitToPage="1"/>
  </sheetPr>
  <dimension ref="B1:Y124"/>
  <sheetViews>
    <sheetView showGridLines="0" topLeftCell="A11" zoomScaleNormal="100" workbookViewId="0">
      <selection activeCell="O37" sqref="O37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SUM('0701 (기초)'!$K$43:$L$43)</f>
        <v>14935</v>
      </c>
      <c r="F9" s="42">
        <f>SUM(E9)/D9</f>
        <v>7.4675000000000005E-2</v>
      </c>
      <c r="G9" s="10">
        <f>SUM('0701 (기초)'!$N$43)</f>
        <v>1314.9475513009622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SUM('0701 (기초)'!$K$44:$L$44)</f>
        <v>76781</v>
      </c>
      <c r="F10" s="44">
        <f>SUM(E10)/D10</f>
        <v>0.153562</v>
      </c>
      <c r="G10" s="13">
        <f>SUM('0701 (기초)'!$N$44)</f>
        <v>1750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110" t="s">
        <v>61</v>
      </c>
      <c r="L16" s="16">
        <v>3000</v>
      </c>
      <c r="M16" s="37"/>
      <c r="N16" s="94">
        <f t="shared" ref="N16:N22" si="3">IF(L16="","",($G$10))</f>
        <v>1750</v>
      </c>
      <c r="O16" s="95">
        <f t="shared" ref="O16:O22" si="4">IF(L16="","",(SUM(M16)-N16))</f>
        <v>-1750</v>
      </c>
      <c r="P16" s="96">
        <f t="shared" ref="P16:P22" si="5">IF(L16="","",(L16*O16))</f>
        <v>-5250000</v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36"/>
      <c r="L18" s="37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36"/>
      <c r="L19" s="37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3000</v>
      </c>
      <c r="M23" s="92"/>
      <c r="N23" s="92"/>
      <c r="O23" s="92"/>
      <c r="P23" s="93">
        <f>SUM(P16:P22)</f>
        <v>-5250000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14935</v>
      </c>
      <c r="D29" s="177"/>
      <c r="E29" s="178">
        <f>$G$9</f>
        <v>1314.9475513009622</v>
      </c>
      <c r="F29" s="178"/>
      <c r="G29" s="177">
        <f>C29*E29</f>
        <v>19638741.678679872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73781</v>
      </c>
      <c r="D30" s="174"/>
      <c r="E30" s="185">
        <f>$G$10</f>
        <v>1750</v>
      </c>
      <c r="F30" s="185"/>
      <c r="G30" s="174">
        <f>C30*E30</f>
        <v>129116750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14935</v>
      </c>
      <c r="D36" s="177"/>
      <c r="E36" s="177">
        <f>$G$29+$O$29</f>
        <v>19638741.678679872</v>
      </c>
      <c r="F36" s="177"/>
      <c r="G36" s="178">
        <f>E36/C36</f>
        <v>1314.9475513009622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73781</v>
      </c>
      <c r="D37" s="174"/>
      <c r="E37" s="174">
        <f>$G$30+$O$30</f>
        <v>129116750</v>
      </c>
      <c r="F37" s="174"/>
      <c r="G37" s="185">
        <f>E37/C37</f>
        <v>1750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14935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14935</v>
      </c>
      <c r="L43" s="231"/>
      <c r="M43" s="63">
        <f>SUM($K$43)/$D$9</f>
        <v>7.4675000000000005E-2</v>
      </c>
      <c r="N43" s="64">
        <f>$G$36</f>
        <v>1314.9475513009622</v>
      </c>
      <c r="O43" s="103"/>
      <c r="P43" s="23"/>
      <c r="Q43" s="125"/>
    </row>
    <row r="44" spans="2:25" ht="24.75" customHeight="1">
      <c r="B44" s="65" t="s">
        <v>41</v>
      </c>
      <c r="C44" s="232">
        <f>SUM($E$10)</f>
        <v>76781</v>
      </c>
      <c r="D44" s="233"/>
      <c r="E44" s="66"/>
      <c r="F44" s="234">
        <f>$K$30</f>
        <v>0</v>
      </c>
      <c r="G44" s="235"/>
      <c r="H44" s="235">
        <f>$L$23</f>
        <v>3000</v>
      </c>
      <c r="I44" s="235"/>
      <c r="J44" s="235"/>
      <c r="K44" s="236">
        <f>$C$44-$H$44+$F$44+$O$44</f>
        <v>73781</v>
      </c>
      <c r="L44" s="236"/>
      <c r="M44" s="67">
        <f>SUM($K$44)/D10</f>
        <v>0.147562</v>
      </c>
      <c r="N44" s="68">
        <f>$G$37</f>
        <v>1750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 r:id="rId1"/>
  <headerFooter alignWithMargins="0"/>
  <rowBreaks count="1" manualBreakCount="1">
    <brk id="22" min="1" max="18" man="1"/>
  </rowBreak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>
    <pageSetUpPr fitToPage="1"/>
  </sheetPr>
  <dimension ref="B1:Y124"/>
  <sheetViews>
    <sheetView showGridLines="0" topLeftCell="A31" zoomScaleNormal="100" workbookViewId="0">
      <selection activeCell="P19" sqref="P19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SUM('0702'!$K$43:$L$43)</f>
        <v>14935</v>
      </c>
      <c r="F9" s="42">
        <f>SUM(E9)/D9</f>
        <v>7.4675000000000005E-2</v>
      </c>
      <c r="G9" s="10">
        <f>SUM('0702'!$N$43)</f>
        <v>1314.9475513009622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SUM('0702'!$K$44:$L$44)</f>
        <v>73781</v>
      </c>
      <c r="F10" s="44">
        <f>SUM(E10)/D10</f>
        <v>0.147562</v>
      </c>
      <c r="G10" s="13">
        <f>SUM('0702'!$N$44)</f>
        <v>1750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 t="s">
        <v>99</v>
      </c>
      <c r="D16" s="37">
        <v>2515</v>
      </c>
      <c r="E16" s="37"/>
      <c r="F16" s="77">
        <f t="shared" ref="F16:F22" si="0">IF(D16="","",(SUM($G$9)))</f>
        <v>1314.9475513009622</v>
      </c>
      <c r="G16" s="78">
        <f t="shared" ref="G16:G22" si="1">IF(D16="","",(SUM(E16)-F16))</f>
        <v>-1314.9475513009622</v>
      </c>
      <c r="H16" s="79">
        <f t="shared" ref="H16:H22" si="2">IF(D16="","",(D16*G16))</f>
        <v>-3307093.0915219202</v>
      </c>
      <c r="I16" s="17"/>
      <c r="J16" s="159" t="s">
        <v>22</v>
      </c>
      <c r="K16" s="110" t="s">
        <v>99</v>
      </c>
      <c r="L16" s="16">
        <v>3327</v>
      </c>
      <c r="M16" s="37"/>
      <c r="N16" s="94">
        <f t="shared" ref="N16:N22" si="3">IF(L16="","",($G$10))</f>
        <v>1750</v>
      </c>
      <c r="O16" s="95">
        <f t="shared" ref="O16:O22" si="4">IF(L16="","",(SUM(M16)-N16))</f>
        <v>-1750</v>
      </c>
      <c r="P16" s="96">
        <f t="shared" ref="P16:P22" si="5">IF(L16="","",(L16*O16))</f>
        <v>-5822250</v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36"/>
      <c r="L18" s="37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36"/>
      <c r="L19" s="37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2515</v>
      </c>
      <c r="E23" s="75"/>
      <c r="F23" s="75"/>
      <c r="G23" s="75"/>
      <c r="H23" s="76">
        <f>SUM(H16:H22)</f>
        <v>-3307093.0915219202</v>
      </c>
      <c r="I23" s="106"/>
      <c r="J23" s="89" t="s">
        <v>24</v>
      </c>
      <c r="K23" s="90"/>
      <c r="L23" s="91">
        <f>SUM(L16:L22)</f>
        <v>3327</v>
      </c>
      <c r="M23" s="92"/>
      <c r="N23" s="92"/>
      <c r="O23" s="92"/>
      <c r="P23" s="93">
        <f>SUM(P16:P22)</f>
        <v>-5822250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12420</v>
      </c>
      <c r="D29" s="177"/>
      <c r="E29" s="178">
        <f>$G$9</f>
        <v>1314.9475513009622</v>
      </c>
      <c r="F29" s="178"/>
      <c r="G29" s="177">
        <f>C29*E29</f>
        <v>16331648.587157952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70454</v>
      </c>
      <c r="D30" s="174"/>
      <c r="E30" s="185">
        <f>$G$10</f>
        <v>1750</v>
      </c>
      <c r="F30" s="185"/>
      <c r="G30" s="174">
        <f>C30*E30</f>
        <v>123294500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12420</v>
      </c>
      <c r="D36" s="177"/>
      <c r="E36" s="177">
        <f>$G$29+$O$29</f>
        <v>16331648.587157952</v>
      </c>
      <c r="F36" s="177"/>
      <c r="G36" s="178">
        <f>E36/C36</f>
        <v>1314.9475513009622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70454</v>
      </c>
      <c r="D37" s="174"/>
      <c r="E37" s="174">
        <f>$G$30+$O$30</f>
        <v>123294500</v>
      </c>
      <c r="F37" s="174"/>
      <c r="G37" s="185">
        <f>E37/C37</f>
        <v>1750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14935</v>
      </c>
      <c r="D43" s="228"/>
      <c r="E43" s="62"/>
      <c r="F43" s="229">
        <f>$K$29</f>
        <v>0</v>
      </c>
      <c r="G43" s="230"/>
      <c r="H43" s="230">
        <f>$D$23</f>
        <v>2515</v>
      </c>
      <c r="I43" s="230"/>
      <c r="J43" s="230"/>
      <c r="K43" s="231">
        <f>$C$43-$H$43+$F$43+$O$43</f>
        <v>12420</v>
      </c>
      <c r="L43" s="231"/>
      <c r="M43" s="63">
        <f>SUM($K$43)/$D$9</f>
        <v>6.2100000000000002E-2</v>
      </c>
      <c r="N43" s="64">
        <f>$G$36</f>
        <v>1314.9475513009622</v>
      </c>
      <c r="O43" s="103"/>
      <c r="P43" s="23"/>
      <c r="Q43" s="125"/>
    </row>
    <row r="44" spans="2:25" ht="24.75" customHeight="1">
      <c r="B44" s="65" t="s">
        <v>41</v>
      </c>
      <c r="C44" s="232">
        <f>SUM($E$10)</f>
        <v>73781</v>
      </c>
      <c r="D44" s="233"/>
      <c r="E44" s="66"/>
      <c r="F44" s="234">
        <f>$K$30</f>
        <v>0</v>
      </c>
      <c r="G44" s="235"/>
      <c r="H44" s="235">
        <f>$L$23</f>
        <v>3327</v>
      </c>
      <c r="I44" s="235"/>
      <c r="J44" s="235"/>
      <c r="K44" s="236">
        <f>$C$44-$H$44+$F$44+$O$44</f>
        <v>70454</v>
      </c>
      <c r="L44" s="236"/>
      <c r="M44" s="67">
        <f>SUM($K$44)/D10</f>
        <v>0.14090800000000001</v>
      </c>
      <c r="N44" s="68">
        <f>$G$37</f>
        <v>1750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>
    <tabColor rgb="FFFFFF00"/>
    <pageSetUpPr fitToPage="1"/>
  </sheetPr>
  <dimension ref="B1:Y124"/>
  <sheetViews>
    <sheetView showGridLines="0" topLeftCell="A24" zoomScaleNormal="100" workbookViewId="0">
      <selection activeCell="M30" sqref="M30:N30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SUM('0710 (증감)'!$K$43:$L$43)</f>
        <v>12420</v>
      </c>
      <c r="F9" s="42">
        <f>SUM(E9)/D9</f>
        <v>6.2100000000000002E-2</v>
      </c>
      <c r="G9" s="10">
        <f>SUM('0710 (증감)'!$N$43)</f>
        <v>1314.9475513009622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SUM('0710 (증감)'!$K$44:$L$44)</f>
        <v>70454</v>
      </c>
      <c r="F10" s="44">
        <f>SUM(E10)/D10</f>
        <v>0.14090800000000001</v>
      </c>
      <c r="G10" s="13">
        <f>SUM('0710 (증감)'!$N$44)</f>
        <v>1750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110"/>
      <c r="L16" s="16"/>
      <c r="M16" s="37"/>
      <c r="N16" s="94" t="str">
        <f t="shared" ref="N16:N22" si="3">IF(L16="","",($G$10))</f>
        <v/>
      </c>
      <c r="O16" s="95" t="str">
        <f t="shared" ref="O16:O22" si="4">IF(L16="","",(SUM(M16)-N16))</f>
        <v/>
      </c>
      <c r="P16" s="96" t="str">
        <f t="shared" ref="P16:P22" si="5">IF(L16="","",(L16*O16))</f>
        <v/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36"/>
      <c r="L18" s="37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36"/>
      <c r="L19" s="37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0</v>
      </c>
      <c r="M23" s="92"/>
      <c r="N23" s="92"/>
      <c r="O23" s="92"/>
      <c r="P23" s="93">
        <f>SUM(P16:P22)</f>
        <v>0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12420</v>
      </c>
      <c r="D29" s="177"/>
      <c r="E29" s="178">
        <f>$G$9</f>
        <v>1314.9475513009622</v>
      </c>
      <c r="F29" s="178"/>
      <c r="G29" s="177">
        <f>C29*E29</f>
        <v>16331648.587157952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70454</v>
      </c>
      <c r="D30" s="174"/>
      <c r="E30" s="185">
        <f>$G$10</f>
        <v>1750</v>
      </c>
      <c r="F30" s="185"/>
      <c r="G30" s="174">
        <f>C30*E30</f>
        <v>123294500</v>
      </c>
      <c r="H30" s="175"/>
      <c r="I30" s="17"/>
      <c r="J30" s="50" t="s">
        <v>11</v>
      </c>
      <c r="K30" s="186">
        <v>63702</v>
      </c>
      <c r="L30" s="187"/>
      <c r="M30" s="188">
        <v>1742.492949725</v>
      </c>
      <c r="N30" s="189"/>
      <c r="O30" s="174">
        <f>K30*M30</f>
        <v>111000285.88338195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12420</v>
      </c>
      <c r="D36" s="177"/>
      <c r="E36" s="177">
        <f>$G$29+$O$29</f>
        <v>16331648.587157952</v>
      </c>
      <c r="F36" s="177"/>
      <c r="G36" s="178">
        <f>E36/C36</f>
        <v>1314.9475513009622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134156</v>
      </c>
      <c r="D37" s="174"/>
      <c r="E37" s="174">
        <f>$G$30+$O$30</f>
        <v>234294785.88338196</v>
      </c>
      <c r="F37" s="174"/>
      <c r="G37" s="185">
        <f>E37/C37</f>
        <v>1746.4353877827452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12420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12420</v>
      </c>
      <c r="L43" s="231"/>
      <c r="M43" s="63">
        <f>SUM($K$43)/$D$9</f>
        <v>6.2100000000000002E-2</v>
      </c>
      <c r="N43" s="64">
        <f>$G$36</f>
        <v>1314.9475513009622</v>
      </c>
      <c r="O43" s="103"/>
      <c r="P43" s="23"/>
      <c r="Q43" s="125"/>
    </row>
    <row r="44" spans="2:25" ht="24.75" customHeight="1">
      <c r="B44" s="65" t="s">
        <v>41</v>
      </c>
      <c r="C44" s="232">
        <f>SUM($E$10)</f>
        <v>70454</v>
      </c>
      <c r="D44" s="233"/>
      <c r="E44" s="66"/>
      <c r="F44" s="234">
        <f>$K$30</f>
        <v>63702</v>
      </c>
      <c r="G44" s="235"/>
      <c r="H44" s="235">
        <f>$L$23</f>
        <v>0</v>
      </c>
      <c r="I44" s="235"/>
      <c r="J44" s="235"/>
      <c r="K44" s="236">
        <f>$C$44-$H$44+$F$44+$O$44</f>
        <v>134156</v>
      </c>
      <c r="L44" s="236"/>
      <c r="M44" s="67">
        <f>SUM($K$44)/D10</f>
        <v>0.26831199999999999</v>
      </c>
      <c r="N44" s="68">
        <f>$G$37</f>
        <v>1746.4353877827452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>
    <tabColor rgb="FFFFFF00"/>
    <pageSetUpPr fitToPage="1"/>
  </sheetPr>
  <dimension ref="B1:Y124"/>
  <sheetViews>
    <sheetView showGridLines="0" topLeftCell="A21" zoomScaleNormal="100" workbookViewId="0">
      <selection activeCell="M30" sqref="M30:N30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SUM('0715 (입고)'!$K$43:$L$43)</f>
        <v>12420</v>
      </c>
      <c r="F9" s="42">
        <f>SUM(E9)/D9</f>
        <v>6.2100000000000002E-2</v>
      </c>
      <c r="G9" s="10">
        <f>SUM('0715 (입고)'!$N$43)</f>
        <v>1314.9475513009622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SUM('0715 (입고)'!$K$44:$L$44)</f>
        <v>134156</v>
      </c>
      <c r="F10" s="44">
        <f>SUM(E10)/D10</f>
        <v>0.26831199999999999</v>
      </c>
      <c r="G10" s="13">
        <f>SUM('0715 (입고)'!$N$44)</f>
        <v>1746.4353877827452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110"/>
      <c r="L16" s="16"/>
      <c r="M16" s="37"/>
      <c r="N16" s="94" t="str">
        <f t="shared" ref="N16:N22" si="3">IF(L16="","",($G$10))</f>
        <v/>
      </c>
      <c r="O16" s="95" t="str">
        <f t="shared" ref="O16:O22" si="4">IF(L16="","",(SUM(M16)-N16))</f>
        <v/>
      </c>
      <c r="P16" s="96" t="str">
        <f t="shared" ref="P16:P22" si="5">IF(L16="","",(L16*O16))</f>
        <v/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10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36"/>
      <c r="L18" s="37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36"/>
      <c r="L19" s="37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0</v>
      </c>
      <c r="M23" s="92"/>
      <c r="N23" s="92"/>
      <c r="O23" s="92"/>
      <c r="P23" s="93">
        <f>SUM(P16:P22)</f>
        <v>0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12420</v>
      </c>
      <c r="D29" s="177"/>
      <c r="E29" s="178">
        <f>$G$9</f>
        <v>1314.9475513009622</v>
      </c>
      <c r="F29" s="178"/>
      <c r="G29" s="177">
        <f>C29*E29</f>
        <v>16331648.587157952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134156</v>
      </c>
      <c r="D30" s="174"/>
      <c r="E30" s="185">
        <f>$G$10</f>
        <v>1746.4353877827452</v>
      </c>
      <c r="F30" s="185"/>
      <c r="G30" s="174">
        <f>C30*E30</f>
        <v>234294785.88338196</v>
      </c>
      <c r="H30" s="175"/>
      <c r="I30" s="17"/>
      <c r="J30" s="50" t="s">
        <v>11</v>
      </c>
      <c r="K30" s="186">
        <v>122611</v>
      </c>
      <c r="L30" s="187"/>
      <c r="M30" s="188">
        <v>1742.492949725</v>
      </c>
      <c r="N30" s="189"/>
      <c r="O30" s="174">
        <f>K30*M30</f>
        <v>213648803.05873197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12420</v>
      </c>
      <c r="D36" s="177"/>
      <c r="E36" s="177">
        <f>$G$29+$O$29</f>
        <v>16331648.587157952</v>
      </c>
      <c r="F36" s="177"/>
      <c r="G36" s="178">
        <f>E36/C36</f>
        <v>1314.9475513009622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256767</v>
      </c>
      <c r="D37" s="174"/>
      <c r="E37" s="174">
        <f>$G$30+$O$30</f>
        <v>447943588.94211394</v>
      </c>
      <c r="F37" s="174"/>
      <c r="G37" s="185">
        <f>E37/C37</f>
        <v>1744.5528005628214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12420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12420</v>
      </c>
      <c r="L43" s="231"/>
      <c r="M43" s="63">
        <f>SUM($K$43)/$D$9</f>
        <v>6.2100000000000002E-2</v>
      </c>
      <c r="N43" s="64">
        <f>$G$36</f>
        <v>1314.9475513009622</v>
      </c>
      <c r="O43" s="103"/>
      <c r="P43" s="23"/>
      <c r="Q43" s="125"/>
    </row>
    <row r="44" spans="2:25" ht="24.75" customHeight="1">
      <c r="B44" s="65" t="s">
        <v>41</v>
      </c>
      <c r="C44" s="232">
        <f>SUM($E$10)</f>
        <v>134156</v>
      </c>
      <c r="D44" s="233"/>
      <c r="E44" s="66"/>
      <c r="F44" s="234">
        <f>$K$30</f>
        <v>122611</v>
      </c>
      <c r="G44" s="235"/>
      <c r="H44" s="235">
        <f>$L$23</f>
        <v>0</v>
      </c>
      <c r="I44" s="235"/>
      <c r="J44" s="235"/>
      <c r="K44" s="236">
        <f>$C$44-$H$44+$F$44+$O$44</f>
        <v>256767</v>
      </c>
      <c r="L44" s="236"/>
      <c r="M44" s="67">
        <f>SUM($K$44)/D10</f>
        <v>0.51353400000000005</v>
      </c>
      <c r="N44" s="68">
        <f>$G$37</f>
        <v>1744.5528005628214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>
    <pageSetUpPr fitToPage="1"/>
  </sheetPr>
  <dimension ref="B1:Y124"/>
  <sheetViews>
    <sheetView showGridLines="0" topLeftCell="A31" zoomScaleNormal="100" workbookViewId="0">
      <selection activeCell="Q44" sqref="Q44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8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8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8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8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8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8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8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8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8" ht="22.5" customHeight="1">
      <c r="B9" s="140"/>
      <c r="C9" s="34" t="s">
        <v>9</v>
      </c>
      <c r="D9" s="111">
        <v>200000</v>
      </c>
      <c r="E9" s="7">
        <f>SUM('0717 (입고)'!$K$43:$L$43)</f>
        <v>12420</v>
      </c>
      <c r="F9" s="42">
        <f>SUM(E9)/D9</f>
        <v>6.2100000000000002E-2</v>
      </c>
      <c r="G9" s="10">
        <f>SUM('0717 (입고)'!$N$43)</f>
        <v>1314.9475513009622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8" ht="22.5" customHeight="1">
      <c r="B10" s="141"/>
      <c r="C10" s="35" t="s">
        <v>11</v>
      </c>
      <c r="D10" s="43">
        <v>500000</v>
      </c>
      <c r="E10" s="12">
        <f>SUM('0717 (입고)'!$K$44:$L$44)</f>
        <v>256767</v>
      </c>
      <c r="F10" s="44">
        <f>SUM(E10)/D10</f>
        <v>0.51353400000000005</v>
      </c>
      <c r="G10" s="13">
        <f>SUM('0717 (입고)'!$N$44)</f>
        <v>1744.5528005628214</v>
      </c>
      <c r="H10" s="142"/>
      <c r="I10" s="106"/>
      <c r="J10" s="112"/>
      <c r="K10" s="9"/>
      <c r="L10" s="9"/>
      <c r="M10" s="11"/>
      <c r="N10" s="9"/>
      <c r="O10" s="9"/>
    </row>
    <row r="11" spans="2:18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8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8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8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8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8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133" t="s">
        <v>100</v>
      </c>
      <c r="L16" s="16">
        <v>28000</v>
      </c>
      <c r="M16" s="37"/>
      <c r="N16" s="94">
        <f t="shared" ref="N16:N22" si="3">IF(L16="","",($G$10))</f>
        <v>1744.5528005628214</v>
      </c>
      <c r="O16" s="95">
        <f t="shared" ref="O16:O22" si="4">IF(L16="","",(SUM(M16)-N16))</f>
        <v>-1744.5528005628214</v>
      </c>
      <c r="P16" s="96">
        <f t="shared" ref="P16:P22" si="5">IF(L16="","",(L16*O16))</f>
        <v>-48847478.415758997</v>
      </c>
      <c r="R16" s="2" t="s">
        <v>101</v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33" t="s">
        <v>102</v>
      </c>
      <c r="L17" s="16">
        <v>28000</v>
      </c>
      <c r="M17" s="16"/>
      <c r="N17" s="97">
        <f t="shared" si="3"/>
        <v>1744.5528005628214</v>
      </c>
      <c r="O17" s="98">
        <f t="shared" si="4"/>
        <v>-1744.5528005628214</v>
      </c>
      <c r="P17" s="99">
        <f t="shared" si="5"/>
        <v>-48847478.415758997</v>
      </c>
      <c r="R17" s="2" t="s">
        <v>103</v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34" t="s">
        <v>104</v>
      </c>
      <c r="L18" s="37">
        <v>28000</v>
      </c>
      <c r="M18" s="16"/>
      <c r="N18" s="97">
        <f t="shared" si="3"/>
        <v>1744.5528005628214</v>
      </c>
      <c r="O18" s="98">
        <f t="shared" si="4"/>
        <v>-1744.5528005628214</v>
      </c>
      <c r="P18" s="99">
        <f t="shared" si="5"/>
        <v>-48847478.415758997</v>
      </c>
      <c r="R18" s="2" t="s">
        <v>105</v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36"/>
      <c r="L19" s="37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84000</v>
      </c>
      <c r="M23" s="92"/>
      <c r="N23" s="92"/>
      <c r="O23" s="92"/>
      <c r="P23" s="93">
        <f>SUM(P16:P22)</f>
        <v>-146542435.24727699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12420</v>
      </c>
      <c r="D29" s="177"/>
      <c r="E29" s="178">
        <f>$G$9</f>
        <v>1314.9475513009622</v>
      </c>
      <c r="F29" s="178"/>
      <c r="G29" s="177">
        <f>C29*E29</f>
        <v>16331648.587157952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172767</v>
      </c>
      <c r="D30" s="174"/>
      <c r="E30" s="185">
        <f>$G$10</f>
        <v>1744.5528005628214</v>
      </c>
      <c r="F30" s="185"/>
      <c r="G30" s="174">
        <f>C30*E30</f>
        <v>301401153.69483697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12420</v>
      </c>
      <c r="D36" s="177"/>
      <c r="E36" s="177">
        <f>$G$29+$O$29</f>
        <v>16331648.587157952</v>
      </c>
      <c r="F36" s="177"/>
      <c r="G36" s="178">
        <f>E36/C36</f>
        <v>1314.9475513009622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172767</v>
      </c>
      <c r="D37" s="174"/>
      <c r="E37" s="174">
        <f>$G$30+$O$30</f>
        <v>301401153.69483697</v>
      </c>
      <c r="F37" s="174"/>
      <c r="G37" s="185">
        <f>E37/C37</f>
        <v>1744.5528005628214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12420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12420</v>
      </c>
      <c r="L43" s="231"/>
      <c r="M43" s="63">
        <f>SUM($K$43)/$D$9</f>
        <v>6.2100000000000002E-2</v>
      </c>
      <c r="N43" s="64">
        <f>$G$36</f>
        <v>1314.9475513009622</v>
      </c>
      <c r="O43" s="103"/>
      <c r="P43" s="23"/>
      <c r="Q43" s="125"/>
    </row>
    <row r="44" spans="2:25" ht="24.75" customHeight="1">
      <c r="B44" s="65" t="s">
        <v>41</v>
      </c>
      <c r="C44" s="232">
        <f>SUM($E$10)</f>
        <v>256767</v>
      </c>
      <c r="D44" s="233"/>
      <c r="E44" s="66"/>
      <c r="F44" s="234">
        <f>$K$30</f>
        <v>0</v>
      </c>
      <c r="G44" s="235"/>
      <c r="H44" s="235">
        <f>$L$23</f>
        <v>84000</v>
      </c>
      <c r="I44" s="235"/>
      <c r="J44" s="235"/>
      <c r="K44" s="236">
        <f>$C$44-$H$44+$F$44+$O$44</f>
        <v>172767</v>
      </c>
      <c r="L44" s="236"/>
      <c r="M44" s="67">
        <f>SUM($K$44)/D10</f>
        <v>0.34553400000000001</v>
      </c>
      <c r="N44" s="68">
        <f>$G$37</f>
        <v>1744.5528005628214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>
    <tabColor rgb="FFFFFF00"/>
    <pageSetUpPr fitToPage="1"/>
  </sheetPr>
  <dimension ref="B1:Y124"/>
  <sheetViews>
    <sheetView showGridLines="0" topLeftCell="A28" zoomScaleNormal="100" workbookViewId="0">
      <selection activeCell="M30" sqref="M30:N30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SUM('0717'!$K$43:$L$43)</f>
        <v>12420</v>
      </c>
      <c r="F9" s="42">
        <f>SUM(E9)/D9</f>
        <v>6.2100000000000002E-2</v>
      </c>
      <c r="G9" s="10">
        <f>SUM('0717'!$N$43)</f>
        <v>1314.9475513009622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SUM('0717'!$K$44:$L$44)</f>
        <v>172767</v>
      </c>
      <c r="F10" s="44">
        <f>SUM(E10)/D10</f>
        <v>0.34553400000000001</v>
      </c>
      <c r="G10" s="13">
        <f>SUM('0717'!$N$44)</f>
        <v>1744.5528005628214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133"/>
      <c r="L16" s="16"/>
      <c r="M16" s="37"/>
      <c r="N16" s="94" t="str">
        <f t="shared" ref="N16:N22" si="3">IF(L16="","",($G$10))</f>
        <v/>
      </c>
      <c r="O16" s="95" t="str">
        <f t="shared" ref="O16:O22" si="4">IF(L16="","",(SUM(M16)-N16))</f>
        <v/>
      </c>
      <c r="P16" s="96" t="str">
        <f t="shared" ref="P16:P22" si="5">IF(L16="","",(L16*O16))</f>
        <v/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33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34"/>
      <c r="L18" s="37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36"/>
      <c r="L19" s="37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0</v>
      </c>
      <c r="M23" s="92"/>
      <c r="N23" s="92"/>
      <c r="O23" s="92"/>
      <c r="P23" s="93">
        <f>SUM(P16:P22)</f>
        <v>0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12420</v>
      </c>
      <c r="D29" s="177"/>
      <c r="E29" s="178">
        <f>$G$9</f>
        <v>1314.9475513009622</v>
      </c>
      <c r="F29" s="178"/>
      <c r="G29" s="177">
        <f>C29*E29</f>
        <v>16331648.587157952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172767</v>
      </c>
      <c r="D30" s="174"/>
      <c r="E30" s="185">
        <f>$G$10</f>
        <v>1744.5528005628214</v>
      </c>
      <c r="F30" s="185"/>
      <c r="G30" s="174">
        <f>C30*E30</f>
        <v>301401153.69483697</v>
      </c>
      <c r="H30" s="175"/>
      <c r="I30" s="17"/>
      <c r="J30" s="50" t="s">
        <v>11</v>
      </c>
      <c r="K30" s="186">
        <v>64000</v>
      </c>
      <c r="L30" s="187"/>
      <c r="M30" s="188">
        <v>1742.492949725</v>
      </c>
      <c r="N30" s="189"/>
      <c r="O30" s="174">
        <f>K30*M30</f>
        <v>111519548.7824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12420</v>
      </c>
      <c r="D36" s="177"/>
      <c r="E36" s="177">
        <f>$G$29+$O$29</f>
        <v>16331648.587157952</v>
      </c>
      <c r="F36" s="177"/>
      <c r="G36" s="178">
        <f>E36/C36</f>
        <v>1314.9475513009622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236767</v>
      </c>
      <c r="D37" s="174"/>
      <c r="E37" s="174">
        <f>$G$30+$O$30</f>
        <v>412920702.47723699</v>
      </c>
      <c r="F37" s="174"/>
      <c r="G37" s="185">
        <f>E37/C37</f>
        <v>1743.9960065264036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12420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12420</v>
      </c>
      <c r="L43" s="231"/>
      <c r="M43" s="63">
        <f>SUM($K$43)/$D$9</f>
        <v>6.2100000000000002E-2</v>
      </c>
      <c r="N43" s="64">
        <f>$G$36</f>
        <v>1314.9475513009622</v>
      </c>
      <c r="O43" s="103"/>
      <c r="P43" s="23"/>
      <c r="Q43" s="125"/>
    </row>
    <row r="44" spans="2:25" ht="24.75" customHeight="1">
      <c r="B44" s="65" t="s">
        <v>41</v>
      </c>
      <c r="C44" s="232">
        <f>SUM($E$10)</f>
        <v>172767</v>
      </c>
      <c r="D44" s="233"/>
      <c r="E44" s="66"/>
      <c r="F44" s="234">
        <f>$K$30</f>
        <v>64000</v>
      </c>
      <c r="G44" s="235"/>
      <c r="H44" s="235">
        <f>$L$23</f>
        <v>0</v>
      </c>
      <c r="I44" s="235"/>
      <c r="J44" s="235"/>
      <c r="K44" s="236">
        <f>$C$44-$H$44+$F$44+$O$44</f>
        <v>236767</v>
      </c>
      <c r="L44" s="236"/>
      <c r="M44" s="67">
        <f>SUM($K$44)/D10</f>
        <v>0.47353400000000001</v>
      </c>
      <c r="N44" s="68">
        <f>$G$37</f>
        <v>1743.9960065264036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>
    <pageSetUpPr fitToPage="1"/>
  </sheetPr>
  <dimension ref="B1:Y124"/>
  <sheetViews>
    <sheetView showGridLines="0" topLeftCell="A34" zoomScaleNormal="100" workbookViewId="0">
      <selection activeCell="P17" sqref="P17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8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8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8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8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8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8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8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8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8" ht="22.5" customHeight="1">
      <c r="B9" s="140"/>
      <c r="C9" s="34" t="s">
        <v>9</v>
      </c>
      <c r="D9" s="111">
        <v>200000</v>
      </c>
      <c r="E9" s="7">
        <f>SUM('0718 (입고)'!$K$43:$L$43)</f>
        <v>12420</v>
      </c>
      <c r="F9" s="42">
        <f>SUM(E9)/D9</f>
        <v>6.2100000000000002E-2</v>
      </c>
      <c r="G9" s="10">
        <f>SUM('0718 (입고)'!$N$43)</f>
        <v>1314.9475513009622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8" ht="22.5" customHeight="1">
      <c r="B10" s="141"/>
      <c r="C10" s="35" t="s">
        <v>11</v>
      </c>
      <c r="D10" s="43">
        <v>500000</v>
      </c>
      <c r="E10" s="12">
        <f>SUM('0718 (입고)'!$K$44:$L$44)</f>
        <v>236767</v>
      </c>
      <c r="F10" s="44">
        <f>SUM(E10)/D10</f>
        <v>0.47353400000000001</v>
      </c>
      <c r="G10" s="13">
        <f>SUM('0718 (입고)'!$N$44)</f>
        <v>1743.9960065264036</v>
      </c>
      <c r="H10" s="142"/>
      <c r="I10" s="106"/>
      <c r="J10" s="112"/>
      <c r="K10" s="9"/>
      <c r="L10" s="9"/>
      <c r="M10" s="11"/>
      <c r="N10" s="9"/>
      <c r="O10" s="9"/>
    </row>
    <row r="11" spans="2:18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8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8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8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8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8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133" t="s">
        <v>106</v>
      </c>
      <c r="L16" s="16">
        <v>28000</v>
      </c>
      <c r="M16" s="37"/>
      <c r="N16" s="94">
        <f t="shared" ref="N16:N22" si="3">IF(L16="","",($G$10))</f>
        <v>1743.9960065264036</v>
      </c>
      <c r="O16" s="95">
        <f t="shared" ref="O16:O22" si="4">IF(L16="","",(SUM(M16)-N16))</f>
        <v>-1743.9960065264036</v>
      </c>
      <c r="P16" s="96">
        <f t="shared" ref="P16:P22" si="5">IF(L16="","",(L16*O16))</f>
        <v>-48831888.182739303</v>
      </c>
      <c r="R16" s="2" t="s">
        <v>101</v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33" t="s">
        <v>107</v>
      </c>
      <c r="L17" s="16">
        <v>28000</v>
      </c>
      <c r="M17" s="16"/>
      <c r="N17" s="97">
        <f t="shared" si="3"/>
        <v>1743.9960065264036</v>
      </c>
      <c r="O17" s="98">
        <f t="shared" si="4"/>
        <v>-1743.9960065264036</v>
      </c>
      <c r="P17" s="99">
        <f t="shared" si="5"/>
        <v>-48831888.182739303</v>
      </c>
      <c r="R17" s="2" t="s">
        <v>105</v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34"/>
      <c r="L18" s="37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36"/>
      <c r="L19" s="37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56000</v>
      </c>
      <c r="M23" s="92"/>
      <c r="N23" s="92"/>
      <c r="O23" s="92"/>
      <c r="P23" s="93">
        <f>SUM(P16:P22)</f>
        <v>-97663776.365478605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12420</v>
      </c>
      <c r="D29" s="177"/>
      <c r="E29" s="178">
        <f>$G$9</f>
        <v>1314.9475513009622</v>
      </c>
      <c r="F29" s="178"/>
      <c r="G29" s="177">
        <f>C29*E29</f>
        <v>16331648.587157952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180767</v>
      </c>
      <c r="D30" s="174"/>
      <c r="E30" s="185">
        <f>$G$10</f>
        <v>1743.9960065264036</v>
      </c>
      <c r="F30" s="185"/>
      <c r="G30" s="174">
        <f>C30*E30</f>
        <v>315256926.11175841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12420</v>
      </c>
      <c r="D36" s="177"/>
      <c r="E36" s="177">
        <f>$G$29+$O$29</f>
        <v>16331648.587157952</v>
      </c>
      <c r="F36" s="177"/>
      <c r="G36" s="178">
        <f>E36/C36</f>
        <v>1314.9475513009622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180767</v>
      </c>
      <c r="D37" s="174"/>
      <c r="E37" s="174">
        <f>$G$30+$O$30</f>
        <v>315256926.11175841</v>
      </c>
      <c r="F37" s="174"/>
      <c r="G37" s="185">
        <f>E37/C37</f>
        <v>1743.9960065264036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12420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12420</v>
      </c>
      <c r="L43" s="231"/>
      <c r="M43" s="63">
        <f>SUM($K$43)/$D$9</f>
        <v>6.2100000000000002E-2</v>
      </c>
      <c r="N43" s="64">
        <f>$G$36</f>
        <v>1314.9475513009622</v>
      </c>
      <c r="O43" s="103"/>
      <c r="P43" s="23"/>
      <c r="Q43" s="125"/>
    </row>
    <row r="44" spans="2:25" ht="24.75" customHeight="1">
      <c r="B44" s="65" t="s">
        <v>41</v>
      </c>
      <c r="C44" s="232">
        <f>SUM($E$10)</f>
        <v>236767</v>
      </c>
      <c r="D44" s="233"/>
      <c r="E44" s="66"/>
      <c r="F44" s="234">
        <f>$K$30</f>
        <v>0</v>
      </c>
      <c r="G44" s="235"/>
      <c r="H44" s="235">
        <f>$L$23</f>
        <v>56000</v>
      </c>
      <c r="I44" s="235"/>
      <c r="J44" s="235"/>
      <c r="K44" s="236">
        <f>$C$44-$H$44+$F$44+$O$44</f>
        <v>180767</v>
      </c>
      <c r="L44" s="236"/>
      <c r="M44" s="67">
        <f>SUM($K$44)/D10</f>
        <v>0.36153400000000002</v>
      </c>
      <c r="N44" s="68">
        <f>$G$37</f>
        <v>1743.9960065264036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>
    <tabColor rgb="FFFFFF00"/>
    <pageSetUpPr fitToPage="1"/>
  </sheetPr>
  <dimension ref="B1:Y124"/>
  <sheetViews>
    <sheetView showGridLines="0" topLeftCell="A28" zoomScaleNormal="100" workbookViewId="0">
      <selection activeCell="M30" sqref="M30:N30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SUM('0718'!$K$43:$L$43)</f>
        <v>12420</v>
      </c>
      <c r="F9" s="42">
        <f>SUM(E9)/D9</f>
        <v>6.2100000000000002E-2</v>
      </c>
      <c r="G9" s="10">
        <f>SUM('0718'!$N$43)</f>
        <v>1314.9475513009622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SUM('0718'!$K$44:$L$44)</f>
        <v>180767</v>
      </c>
      <c r="F10" s="44">
        <f>SUM(E10)/D10</f>
        <v>0.36153400000000002</v>
      </c>
      <c r="G10" s="13">
        <f>SUM('0718'!$N$44)</f>
        <v>1743.9960065264036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133"/>
      <c r="L16" s="16"/>
      <c r="M16" s="37"/>
      <c r="N16" s="94" t="str">
        <f t="shared" ref="N16:N22" si="3">IF(L16="","",($G$10))</f>
        <v/>
      </c>
      <c r="O16" s="95" t="str">
        <f t="shared" ref="O16:O22" si="4">IF(L16="","",(SUM(M16)-N16))</f>
        <v/>
      </c>
      <c r="P16" s="96" t="str">
        <f t="shared" ref="P16:P22" si="5">IF(L16="","",(L16*O16))</f>
        <v/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33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34"/>
      <c r="L18" s="37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36"/>
      <c r="L19" s="37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0</v>
      </c>
      <c r="M23" s="92"/>
      <c r="N23" s="92"/>
      <c r="O23" s="92"/>
      <c r="P23" s="93">
        <f>SUM(P16:P22)</f>
        <v>0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12420</v>
      </c>
      <c r="D29" s="177"/>
      <c r="E29" s="178">
        <f>$G$9</f>
        <v>1314.9475513009622</v>
      </c>
      <c r="F29" s="178"/>
      <c r="G29" s="177">
        <f>C29*E29</f>
        <v>16331648.587157952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180767</v>
      </c>
      <c r="D30" s="174"/>
      <c r="E30" s="185">
        <f>$G$10</f>
        <v>1743.9960065264036</v>
      </c>
      <c r="F30" s="185"/>
      <c r="G30" s="174">
        <f>C30*E30</f>
        <v>315256926.11175841</v>
      </c>
      <c r="H30" s="175"/>
      <c r="I30" s="17"/>
      <c r="J30" s="50" t="s">
        <v>11</v>
      </c>
      <c r="K30" s="186">
        <v>31731</v>
      </c>
      <c r="L30" s="187"/>
      <c r="M30" s="188">
        <v>1742.492949725</v>
      </c>
      <c r="N30" s="189"/>
      <c r="O30" s="174">
        <f>K30*M30</f>
        <v>55291043.787723973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12420</v>
      </c>
      <c r="D36" s="177"/>
      <c r="E36" s="177">
        <f>$G$29+$O$29</f>
        <v>16331648.587157952</v>
      </c>
      <c r="F36" s="177"/>
      <c r="G36" s="178">
        <f>E36/C36</f>
        <v>1314.9475513009622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212498</v>
      </c>
      <c r="D37" s="174"/>
      <c r="E37" s="174">
        <f>$G$30+$O$30</f>
        <v>370547969.89948237</v>
      </c>
      <c r="F37" s="174"/>
      <c r="G37" s="185">
        <f>E37/C37</f>
        <v>1743.7715644358177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12420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12420</v>
      </c>
      <c r="L43" s="231"/>
      <c r="M43" s="63">
        <f>SUM($K$43)/$D$9</f>
        <v>6.2100000000000002E-2</v>
      </c>
      <c r="N43" s="64">
        <f>$G$36</f>
        <v>1314.9475513009622</v>
      </c>
      <c r="O43" s="103"/>
      <c r="P43" s="23"/>
      <c r="Q43" s="125"/>
    </row>
    <row r="44" spans="2:25" ht="24.75" customHeight="1">
      <c r="B44" s="65" t="s">
        <v>41</v>
      </c>
      <c r="C44" s="232">
        <f>SUM($E$10)</f>
        <v>180767</v>
      </c>
      <c r="D44" s="233"/>
      <c r="E44" s="66"/>
      <c r="F44" s="234">
        <f>$K$30</f>
        <v>31731</v>
      </c>
      <c r="G44" s="235"/>
      <c r="H44" s="235">
        <f>$L$23</f>
        <v>0</v>
      </c>
      <c r="I44" s="235"/>
      <c r="J44" s="235"/>
      <c r="K44" s="236">
        <f>$C$44-$H$44+$F$44+$O$44</f>
        <v>212498</v>
      </c>
      <c r="L44" s="236"/>
      <c r="M44" s="67">
        <f>SUM($K$44)/D10</f>
        <v>0.42499599999999998</v>
      </c>
      <c r="N44" s="68">
        <f>$G$37</f>
        <v>1743.7715644358177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>
    <tabColor rgb="FFFFFF00"/>
    <pageSetUpPr fitToPage="1"/>
  </sheetPr>
  <dimension ref="B1:Y124"/>
  <sheetViews>
    <sheetView showGridLines="0" topLeftCell="A13" zoomScaleNormal="100" workbookViewId="0">
      <selection activeCell="M30" sqref="M30:N30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SUM('0719 (입고)'!$K$43:$L$43)</f>
        <v>12420</v>
      </c>
      <c r="F9" s="42">
        <f>SUM(E9)/D9</f>
        <v>6.2100000000000002E-2</v>
      </c>
      <c r="G9" s="10">
        <f>SUM('0719 (입고)'!$N$43)</f>
        <v>1314.9475513009622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SUM('0719 (입고)'!$K$44:$L$44)</f>
        <v>212498</v>
      </c>
      <c r="F10" s="44">
        <f>SUM(E10)/D10</f>
        <v>0.42499599999999998</v>
      </c>
      <c r="G10" s="13">
        <f>SUM('0719 (입고)'!$N$44)</f>
        <v>1743.7715644358177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133"/>
      <c r="L16" s="16"/>
      <c r="M16" s="37"/>
      <c r="N16" s="94" t="str">
        <f t="shared" ref="N16:N22" si="3">IF(L16="","",($G$10))</f>
        <v/>
      </c>
      <c r="O16" s="95" t="str">
        <f t="shared" ref="O16:O22" si="4">IF(L16="","",(SUM(M16)-N16))</f>
        <v/>
      </c>
      <c r="P16" s="96" t="str">
        <f t="shared" ref="P16:P22" si="5">IF(L16="","",(L16*O16))</f>
        <v/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33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34"/>
      <c r="L18" s="37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36"/>
      <c r="L19" s="37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0</v>
      </c>
      <c r="M23" s="92"/>
      <c r="N23" s="92"/>
      <c r="O23" s="92"/>
      <c r="P23" s="93">
        <f>SUM(P16:P22)</f>
        <v>0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12420</v>
      </c>
      <c r="D29" s="177"/>
      <c r="E29" s="178">
        <f>$G$9</f>
        <v>1314.9475513009622</v>
      </c>
      <c r="F29" s="178"/>
      <c r="G29" s="177">
        <f>C29*E29</f>
        <v>16331648.587157952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212498</v>
      </c>
      <c r="D30" s="174"/>
      <c r="E30" s="185">
        <f>$G$10</f>
        <v>1743.7715644358177</v>
      </c>
      <c r="F30" s="185"/>
      <c r="G30" s="174">
        <f>C30*E30</f>
        <v>370547969.89948237</v>
      </c>
      <c r="H30" s="175"/>
      <c r="I30" s="17"/>
      <c r="J30" s="50" t="s">
        <v>11</v>
      </c>
      <c r="K30" s="186">
        <v>155181</v>
      </c>
      <c r="L30" s="187"/>
      <c r="M30" s="188">
        <v>1742.492949725</v>
      </c>
      <c r="N30" s="189"/>
      <c r="O30" s="174">
        <f>K30*M30</f>
        <v>270401798.43127525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12420</v>
      </c>
      <c r="D36" s="177"/>
      <c r="E36" s="177">
        <f>$G$29+$O$29</f>
        <v>16331648.587157952</v>
      </c>
      <c r="F36" s="177"/>
      <c r="G36" s="178">
        <f>E36/C36</f>
        <v>1314.9475513009622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367679</v>
      </c>
      <c r="D37" s="174"/>
      <c r="E37" s="174">
        <f>$G$30+$O$30</f>
        <v>640949768.33075762</v>
      </c>
      <c r="F37" s="174"/>
      <c r="G37" s="185">
        <f>E37/C37</f>
        <v>1743.2319178706362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12420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12420</v>
      </c>
      <c r="L43" s="231"/>
      <c r="M43" s="63">
        <f>SUM($K$43)/$D$9</f>
        <v>6.2100000000000002E-2</v>
      </c>
      <c r="N43" s="64">
        <f>$G$36</f>
        <v>1314.9475513009622</v>
      </c>
      <c r="O43" s="103"/>
      <c r="P43" s="23"/>
      <c r="Q43" s="125"/>
    </row>
    <row r="44" spans="2:25" ht="24.75" customHeight="1">
      <c r="B44" s="65" t="s">
        <v>41</v>
      </c>
      <c r="C44" s="232">
        <f>SUM($E$10)</f>
        <v>212498</v>
      </c>
      <c r="D44" s="233"/>
      <c r="E44" s="66"/>
      <c r="F44" s="234">
        <f>$K$30</f>
        <v>155181</v>
      </c>
      <c r="G44" s="235"/>
      <c r="H44" s="235">
        <f>$L$23</f>
        <v>0</v>
      </c>
      <c r="I44" s="235"/>
      <c r="J44" s="235"/>
      <c r="K44" s="236">
        <f>$C$44-$H$44+$F$44+$O$44</f>
        <v>367679</v>
      </c>
      <c r="L44" s="236"/>
      <c r="M44" s="67">
        <f>SUM($K$44)/D10</f>
        <v>0.73535799999999996</v>
      </c>
      <c r="N44" s="68">
        <f>$G$37</f>
        <v>1743.2319178706362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5:C46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>
    <pageSetUpPr fitToPage="1"/>
  </sheetPr>
  <dimension ref="B1:Y124"/>
  <sheetViews>
    <sheetView showGridLines="0" topLeftCell="A12" zoomScaleNormal="100" workbookViewId="0">
      <selection activeCell="K30" sqref="K30:N30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8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8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8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8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8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8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8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8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8" ht="22.5" customHeight="1">
      <c r="B9" s="140"/>
      <c r="C9" s="34" t="s">
        <v>9</v>
      </c>
      <c r="D9" s="111">
        <v>200000</v>
      </c>
      <c r="E9" s="7">
        <f>SUM('0720 (입고)'!$K$43:$L$43)</f>
        <v>12420</v>
      </c>
      <c r="F9" s="42">
        <f>SUM(E9)/D9</f>
        <v>6.2100000000000002E-2</v>
      </c>
      <c r="G9" s="10">
        <f>SUM('0720 (입고)'!$N$43)</f>
        <v>1314.9475513009622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8" ht="22.5" customHeight="1">
      <c r="B10" s="141"/>
      <c r="C10" s="35" t="s">
        <v>11</v>
      </c>
      <c r="D10" s="43">
        <v>500000</v>
      </c>
      <c r="E10" s="12">
        <f>SUM('0720 (입고)'!$K$44:$L$44)</f>
        <v>367679</v>
      </c>
      <c r="F10" s="44">
        <f>SUM(E10)/D10</f>
        <v>0.73535799999999996</v>
      </c>
      <c r="G10" s="13">
        <f>SUM('0720 (입고)'!$N$44)</f>
        <v>1743.2319178706362</v>
      </c>
      <c r="H10" s="142"/>
      <c r="I10" s="106"/>
      <c r="J10" s="112"/>
      <c r="K10" s="9"/>
      <c r="L10" s="9"/>
      <c r="M10" s="11"/>
      <c r="N10" s="9"/>
      <c r="O10" s="9"/>
    </row>
    <row r="11" spans="2:18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8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8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8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8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8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133" t="s">
        <v>100</v>
      </c>
      <c r="L16" s="16">
        <v>84000</v>
      </c>
      <c r="M16" s="37"/>
      <c r="N16" s="94">
        <f t="shared" ref="N16:N22" si="3">IF(L16="","",($G$10))</f>
        <v>1743.2319178706362</v>
      </c>
      <c r="O16" s="95">
        <f t="shared" ref="O16:O22" si="4">IF(L16="","",(SUM(M16)-N16))</f>
        <v>-1743.2319178706362</v>
      </c>
      <c r="P16" s="96">
        <f t="shared" ref="P16:P22" si="5">IF(L16="","",(L16*O16))</f>
        <v>-146431481.10113344</v>
      </c>
      <c r="R16" s="2" t="s">
        <v>100</v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33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34"/>
      <c r="L18" s="37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36"/>
      <c r="L19" s="37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84000</v>
      </c>
      <c r="M23" s="92"/>
      <c r="N23" s="92"/>
      <c r="O23" s="92"/>
      <c r="P23" s="93">
        <f>SUM(P16:P22)</f>
        <v>-146431481.10113344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12420</v>
      </c>
      <c r="D29" s="177"/>
      <c r="E29" s="178">
        <f>$G$9</f>
        <v>1314.9475513009622</v>
      </c>
      <c r="F29" s="178"/>
      <c r="G29" s="177">
        <f>C29*E29</f>
        <v>16331648.587157952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283679</v>
      </c>
      <c r="D30" s="174"/>
      <c r="E30" s="185">
        <f>$G$10</f>
        <v>1743.2319178706362</v>
      </c>
      <c r="F30" s="185"/>
      <c r="G30" s="174">
        <f>C30*E30</f>
        <v>494518287.22962421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12420</v>
      </c>
      <c r="D36" s="177"/>
      <c r="E36" s="177">
        <f>$G$29+$O$29</f>
        <v>16331648.587157952</v>
      </c>
      <c r="F36" s="177"/>
      <c r="G36" s="178">
        <f>E36/C36</f>
        <v>1314.9475513009622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283679</v>
      </c>
      <c r="D37" s="174"/>
      <c r="E37" s="174">
        <f>$G$30+$O$30</f>
        <v>494518287.22962421</v>
      </c>
      <c r="F37" s="174"/>
      <c r="G37" s="185">
        <f>E37/C37</f>
        <v>1743.2319178706362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12420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12420</v>
      </c>
      <c r="L43" s="231"/>
      <c r="M43" s="63">
        <f>SUM($K$43)/$D$9</f>
        <v>6.2100000000000002E-2</v>
      </c>
      <c r="N43" s="64">
        <f>$G$36</f>
        <v>1314.9475513009622</v>
      </c>
      <c r="O43" s="103"/>
      <c r="P43" s="23"/>
      <c r="Q43" s="125"/>
    </row>
    <row r="44" spans="2:25" ht="24.75" customHeight="1">
      <c r="B44" s="65" t="s">
        <v>41</v>
      </c>
      <c r="C44" s="232">
        <f>SUM($E$10)</f>
        <v>367679</v>
      </c>
      <c r="D44" s="233"/>
      <c r="E44" s="66"/>
      <c r="F44" s="234">
        <f>$K$30</f>
        <v>0</v>
      </c>
      <c r="G44" s="235"/>
      <c r="H44" s="235">
        <f>$L$23</f>
        <v>84000</v>
      </c>
      <c r="I44" s="235"/>
      <c r="J44" s="235"/>
      <c r="K44" s="236">
        <f>$C$44-$H$44+$F$44+$O$44</f>
        <v>283679</v>
      </c>
      <c r="L44" s="236"/>
      <c r="M44" s="67">
        <f>SUM($K$44)/D10</f>
        <v>0.56735800000000003</v>
      </c>
      <c r="N44" s="68">
        <f>$G$37</f>
        <v>1743.2319178706362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5:C46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>
    <tabColor rgb="FFFFFF00"/>
    <pageSetUpPr fitToPage="1"/>
  </sheetPr>
  <dimension ref="B1:Y124"/>
  <sheetViews>
    <sheetView showGridLines="0" topLeftCell="A17" zoomScaleNormal="100" workbookViewId="0">
      <selection activeCell="M30" sqref="M30:N30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SUM('0720'!$K$43:$L$43)</f>
        <v>12420</v>
      </c>
      <c r="F9" s="42">
        <f>SUM(E9)/D9</f>
        <v>6.2100000000000002E-2</v>
      </c>
      <c r="G9" s="10">
        <f>SUM('0720'!$N$43)</f>
        <v>1314.9475513009622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SUM('0720'!$K$44:$L$44)</f>
        <v>283679</v>
      </c>
      <c r="F10" s="44">
        <f>SUM(E10)/D10</f>
        <v>0.56735800000000003</v>
      </c>
      <c r="G10" s="13">
        <f>SUM('0720'!$N$44)</f>
        <v>1743.2319178706362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133"/>
      <c r="L16" s="16"/>
      <c r="M16" s="37"/>
      <c r="N16" s="94" t="str">
        <f t="shared" ref="N16:N22" si="3">IF(L16="","",($G$10))</f>
        <v/>
      </c>
      <c r="O16" s="95" t="str">
        <f t="shared" ref="O16:O22" si="4">IF(L16="","",(SUM(M16)-N16))</f>
        <v/>
      </c>
      <c r="P16" s="96" t="str">
        <f t="shared" ref="P16:P22" si="5">IF(L16="","",(L16*O16))</f>
        <v/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33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34"/>
      <c r="L18" s="37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36"/>
      <c r="L19" s="37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0</v>
      </c>
      <c r="M23" s="92"/>
      <c r="N23" s="92"/>
      <c r="O23" s="92"/>
      <c r="P23" s="93">
        <f>SUM(P16:P22)</f>
        <v>0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12420</v>
      </c>
      <c r="D29" s="177"/>
      <c r="E29" s="178">
        <f>$G$9</f>
        <v>1314.9475513009622</v>
      </c>
      <c r="F29" s="178"/>
      <c r="G29" s="177">
        <f>C29*E29</f>
        <v>16331648.587157952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283679</v>
      </c>
      <c r="D30" s="174"/>
      <c r="E30" s="185">
        <f>$G$10</f>
        <v>1743.2319178706362</v>
      </c>
      <c r="F30" s="185"/>
      <c r="G30" s="174">
        <f>C30*E30</f>
        <v>494518287.22962421</v>
      </c>
      <c r="H30" s="175"/>
      <c r="I30" s="17"/>
      <c r="J30" s="50" t="s">
        <v>11</v>
      </c>
      <c r="K30" s="186">
        <v>31786</v>
      </c>
      <c r="L30" s="187"/>
      <c r="M30" s="188">
        <v>1742.492949725</v>
      </c>
      <c r="N30" s="189"/>
      <c r="O30" s="174">
        <f>K30*M30</f>
        <v>55386880.899958849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12420</v>
      </c>
      <c r="D36" s="177"/>
      <c r="E36" s="177">
        <f>$G$29+$O$29</f>
        <v>16331648.587157952</v>
      </c>
      <c r="F36" s="177"/>
      <c r="G36" s="178">
        <f>E36/C36</f>
        <v>1314.9475513009622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315465</v>
      </c>
      <c r="D37" s="174"/>
      <c r="E37" s="174">
        <f>$G$30+$O$30</f>
        <v>549905168.12958312</v>
      </c>
      <c r="F37" s="174"/>
      <c r="G37" s="185">
        <f>E37/C37</f>
        <v>1743.1574600338647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12420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12420</v>
      </c>
      <c r="L43" s="231"/>
      <c r="M43" s="63">
        <f>SUM($K$43)/$D$9</f>
        <v>6.2100000000000002E-2</v>
      </c>
      <c r="N43" s="64">
        <f>$G$36</f>
        <v>1314.9475513009622</v>
      </c>
      <c r="O43" s="103"/>
      <c r="P43" s="23"/>
      <c r="Q43" s="125"/>
    </row>
    <row r="44" spans="2:25" ht="24.75" customHeight="1">
      <c r="B44" s="65" t="s">
        <v>41</v>
      </c>
      <c r="C44" s="232">
        <f>SUM($E$10)</f>
        <v>283679</v>
      </c>
      <c r="D44" s="233"/>
      <c r="E44" s="66"/>
      <c r="F44" s="234">
        <f>$K$30</f>
        <v>31786</v>
      </c>
      <c r="G44" s="235"/>
      <c r="H44" s="235">
        <f>$L$23</f>
        <v>0</v>
      </c>
      <c r="I44" s="235"/>
      <c r="J44" s="235"/>
      <c r="K44" s="236">
        <f>$C$44-$H$44+$F$44+$O$44</f>
        <v>315465</v>
      </c>
      <c r="L44" s="236"/>
      <c r="M44" s="67">
        <f>SUM($K$44)/D10</f>
        <v>0.63092999999999999</v>
      </c>
      <c r="N44" s="68">
        <f>$G$37</f>
        <v>1743.1574600338647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5:C46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>
    <pageSetUpPr fitToPage="1"/>
  </sheetPr>
  <dimension ref="B1:Y124"/>
  <sheetViews>
    <sheetView showGridLines="0" topLeftCell="A28" zoomScaleNormal="100" workbookViewId="0">
      <selection activeCell="R16" sqref="R16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8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8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8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8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8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8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8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8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8" ht="22.5" customHeight="1">
      <c r="B9" s="140"/>
      <c r="C9" s="34" t="s">
        <v>9</v>
      </c>
      <c r="D9" s="111">
        <v>200000</v>
      </c>
      <c r="E9" s="7">
        <f>SUM('0721 (입고)'!$K$43:$L$43)</f>
        <v>12420</v>
      </c>
      <c r="F9" s="42">
        <f>SUM(E9)/D9</f>
        <v>6.2100000000000002E-2</v>
      </c>
      <c r="G9" s="10">
        <f>SUM('0721 (입고)'!$N$43)</f>
        <v>1314.9475513009622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8" ht="22.5" customHeight="1">
      <c r="B10" s="141"/>
      <c r="C10" s="35" t="s">
        <v>11</v>
      </c>
      <c r="D10" s="43">
        <v>500000</v>
      </c>
      <c r="E10" s="12">
        <f>SUM('0721 (입고)'!$K$44:$L$44)</f>
        <v>315465</v>
      </c>
      <c r="F10" s="44">
        <f>SUM(E10)/D10</f>
        <v>0.63092999999999999</v>
      </c>
      <c r="G10" s="13">
        <f>SUM('0721 (입고)'!$N$44)</f>
        <v>1743.1574600338647</v>
      </c>
      <c r="H10" s="142"/>
      <c r="I10" s="106"/>
      <c r="J10" s="112"/>
      <c r="K10" s="9"/>
      <c r="L10" s="9"/>
      <c r="M10" s="11"/>
      <c r="N10" s="9"/>
      <c r="O10" s="9"/>
    </row>
    <row r="11" spans="2:18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8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8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8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8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8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133" t="s">
        <v>106</v>
      </c>
      <c r="L16" s="16">
        <v>28000</v>
      </c>
      <c r="M16" s="37"/>
      <c r="N16" s="94">
        <f t="shared" ref="N16:N22" si="3">IF(L16="","",($G$10))</f>
        <v>1743.1574600338647</v>
      </c>
      <c r="O16" s="95">
        <f t="shared" ref="O16:O22" si="4">IF(L16="","",(SUM(M16)-N16))</f>
        <v>-1743.1574600338647</v>
      </c>
      <c r="P16" s="96">
        <f t="shared" ref="P16:P22" si="5">IF(L16="","",(L16*O16))</f>
        <v>-48808408.880948208</v>
      </c>
      <c r="R16" s="2" t="s">
        <v>108</v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33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34"/>
      <c r="L18" s="37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36"/>
      <c r="L19" s="37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28000</v>
      </c>
      <c r="M23" s="92"/>
      <c r="N23" s="92"/>
      <c r="O23" s="92"/>
      <c r="P23" s="93">
        <f>SUM(P16:P22)</f>
        <v>-48808408.880948208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12420</v>
      </c>
      <c r="D29" s="177"/>
      <c r="E29" s="178">
        <f>$G$9</f>
        <v>1314.9475513009622</v>
      </c>
      <c r="F29" s="178"/>
      <c r="G29" s="177">
        <f>C29*E29</f>
        <v>16331648.587157952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287465</v>
      </c>
      <c r="D30" s="174"/>
      <c r="E30" s="185">
        <f>$G$10</f>
        <v>1743.1574600338647</v>
      </c>
      <c r="F30" s="185"/>
      <c r="G30" s="174">
        <f>C30*E30</f>
        <v>501096759.24863493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12420</v>
      </c>
      <c r="D36" s="177"/>
      <c r="E36" s="177">
        <f>$G$29+$O$29</f>
        <v>16331648.587157952</v>
      </c>
      <c r="F36" s="177"/>
      <c r="G36" s="178">
        <f>E36/C36</f>
        <v>1314.9475513009622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287465</v>
      </c>
      <c r="D37" s="174"/>
      <c r="E37" s="174">
        <f>$G$30+$O$30</f>
        <v>501096759.24863493</v>
      </c>
      <c r="F37" s="174"/>
      <c r="G37" s="185">
        <f>E37/C37</f>
        <v>1743.1574600338647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12420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12420</v>
      </c>
      <c r="L43" s="231"/>
      <c r="M43" s="63">
        <f>SUM($K$43)/$D$9</f>
        <v>6.2100000000000002E-2</v>
      </c>
      <c r="N43" s="64">
        <f>$G$36</f>
        <v>1314.9475513009622</v>
      </c>
      <c r="O43" s="103"/>
      <c r="P43" s="23"/>
      <c r="Q43" s="125"/>
    </row>
    <row r="44" spans="2:25" ht="24.75" customHeight="1">
      <c r="B44" s="65" t="s">
        <v>41</v>
      </c>
      <c r="C44" s="232">
        <f>SUM($E$10)</f>
        <v>315465</v>
      </c>
      <c r="D44" s="233"/>
      <c r="E44" s="66"/>
      <c r="F44" s="234">
        <f>$K$30</f>
        <v>0</v>
      </c>
      <c r="G44" s="235"/>
      <c r="H44" s="235">
        <f>$L$23</f>
        <v>28000</v>
      </c>
      <c r="I44" s="235"/>
      <c r="J44" s="235"/>
      <c r="K44" s="236">
        <f>$C$44-$H$44+$F$44+$O$44</f>
        <v>287465</v>
      </c>
      <c r="L44" s="236"/>
      <c r="M44" s="67">
        <f>SUM($K$44)/D10</f>
        <v>0.57493000000000005</v>
      </c>
      <c r="N44" s="68">
        <f>$G$37</f>
        <v>1743.1574600338647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5:C46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>
    <pageSetUpPr fitToPage="1"/>
  </sheetPr>
  <dimension ref="B1:Y124"/>
  <sheetViews>
    <sheetView showGridLines="0" topLeftCell="A24" zoomScaleNormal="100" workbookViewId="0">
      <selection activeCell="L18" sqref="L18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SUM('0721'!$K$43:$L$43)</f>
        <v>12420</v>
      </c>
      <c r="F9" s="42">
        <f>SUM(E9)/D9</f>
        <v>6.2100000000000002E-2</v>
      </c>
      <c r="G9" s="10">
        <f>SUM('0721'!$N$43)</f>
        <v>1314.9475513009622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SUM('0721'!$K$44:$L$44)</f>
        <v>287465</v>
      </c>
      <c r="F10" s="44">
        <f>SUM(E10)/D10</f>
        <v>0.57493000000000005</v>
      </c>
      <c r="G10" s="13">
        <f>SUM('0721'!$N$44)</f>
        <v>1743.1574600338647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133" t="s">
        <v>109</v>
      </c>
      <c r="L16" s="16">
        <v>32000</v>
      </c>
      <c r="M16" s="37"/>
      <c r="N16" s="94">
        <f t="shared" ref="N16:N22" si="3">IF(L16="","",($G$10))</f>
        <v>1743.1574600338647</v>
      </c>
      <c r="O16" s="95">
        <f t="shared" ref="O16:O22" si="4">IF(L16="","",(SUM(M16)-N16))</f>
        <v>-1743.1574600338647</v>
      </c>
      <c r="P16" s="96">
        <f t="shared" ref="P16:P22" si="5">IF(L16="","",(L16*O16))</f>
        <v>-55781038.721083671</v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33" t="s">
        <v>61</v>
      </c>
      <c r="L17" s="16">
        <v>3000</v>
      </c>
      <c r="M17" s="16"/>
      <c r="N17" s="97">
        <f t="shared" si="3"/>
        <v>1743.1574600338647</v>
      </c>
      <c r="O17" s="98">
        <f t="shared" si="4"/>
        <v>-1743.1574600338647</v>
      </c>
      <c r="P17" s="99">
        <f t="shared" si="5"/>
        <v>-5229472.3801015941</v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34"/>
      <c r="L18" s="37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36"/>
      <c r="L19" s="37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35000</v>
      </c>
      <c r="M23" s="92"/>
      <c r="N23" s="92"/>
      <c r="O23" s="92"/>
      <c r="P23" s="93">
        <f>SUM(P16:P22)</f>
        <v>-61010511.101185262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12420</v>
      </c>
      <c r="D29" s="177"/>
      <c r="E29" s="178">
        <f>$G$9</f>
        <v>1314.9475513009622</v>
      </c>
      <c r="F29" s="178"/>
      <c r="G29" s="177">
        <f>C29*E29</f>
        <v>16331648.587157952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252465</v>
      </c>
      <c r="D30" s="174"/>
      <c r="E30" s="185">
        <f>$G$10</f>
        <v>1743.1574600338647</v>
      </c>
      <c r="F30" s="185"/>
      <c r="G30" s="174">
        <f>C30*E30</f>
        <v>440086248.14744967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12420</v>
      </c>
      <c r="D36" s="177"/>
      <c r="E36" s="177">
        <f>$G$29+$O$29</f>
        <v>16331648.587157952</v>
      </c>
      <c r="F36" s="177"/>
      <c r="G36" s="178">
        <f>E36/C36</f>
        <v>1314.9475513009622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252465</v>
      </c>
      <c r="D37" s="174"/>
      <c r="E37" s="174">
        <f>$G$30+$O$30</f>
        <v>440086248.14744967</v>
      </c>
      <c r="F37" s="174"/>
      <c r="G37" s="185">
        <f>E37/C37</f>
        <v>1743.1574600338647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12420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12420</v>
      </c>
      <c r="L43" s="231"/>
      <c r="M43" s="63">
        <f>SUM($K$43)/$D$9</f>
        <v>6.2100000000000002E-2</v>
      </c>
      <c r="N43" s="64">
        <f>$G$36</f>
        <v>1314.9475513009622</v>
      </c>
      <c r="O43" s="103"/>
      <c r="P43" s="23"/>
      <c r="Q43" s="125"/>
    </row>
    <row r="44" spans="2:25" ht="24.75" customHeight="1">
      <c r="B44" s="65" t="s">
        <v>41</v>
      </c>
      <c r="C44" s="232">
        <f>SUM($E$10)</f>
        <v>287465</v>
      </c>
      <c r="D44" s="233"/>
      <c r="E44" s="66"/>
      <c r="F44" s="234">
        <f>$K$30</f>
        <v>0</v>
      </c>
      <c r="G44" s="235"/>
      <c r="H44" s="235">
        <f>$L$23</f>
        <v>35000</v>
      </c>
      <c r="I44" s="235"/>
      <c r="J44" s="235"/>
      <c r="K44" s="236">
        <f>$C$44-$H$44+$F$44+$O$44</f>
        <v>252465</v>
      </c>
      <c r="L44" s="236"/>
      <c r="M44" s="67">
        <f>SUM($K$44)/D10</f>
        <v>0.50492999999999999</v>
      </c>
      <c r="N44" s="68">
        <f>$G$37</f>
        <v>1743.1574600338647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>
    <tabColor rgb="FFFFFF00"/>
    <pageSetUpPr fitToPage="1"/>
  </sheetPr>
  <dimension ref="B1:Y124"/>
  <sheetViews>
    <sheetView showGridLines="0" topLeftCell="A24" zoomScaleNormal="100" workbookViewId="0">
      <selection activeCell="M30" sqref="M30:N30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SUM('0723'!$K$43:$L$43)</f>
        <v>12420</v>
      </c>
      <c r="F9" s="42">
        <f>SUM(E9)/D9</f>
        <v>6.2100000000000002E-2</v>
      </c>
      <c r="G9" s="10">
        <f>SUM('0723'!$N$43)</f>
        <v>1314.9475513009622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SUM('0723'!$K$44:$L$44)</f>
        <v>252465</v>
      </c>
      <c r="F10" s="44">
        <f>SUM(E10)/D10</f>
        <v>0.50492999999999999</v>
      </c>
      <c r="G10" s="13">
        <f>SUM('0723'!$N$44)</f>
        <v>1743.1574600338647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133"/>
      <c r="L16" s="16"/>
      <c r="M16" s="37"/>
      <c r="N16" s="94" t="str">
        <f t="shared" ref="N16:N22" si="3">IF(L16="","",($G$10))</f>
        <v/>
      </c>
      <c r="O16" s="95" t="str">
        <f t="shared" ref="O16:O22" si="4">IF(L16="","",(SUM(M16)-N16))</f>
        <v/>
      </c>
      <c r="P16" s="96" t="str">
        <f t="shared" ref="P16:P22" si="5">IF(L16="","",(L16*O16))</f>
        <v/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33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34"/>
      <c r="L18" s="37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36"/>
      <c r="L19" s="37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0</v>
      </c>
      <c r="M23" s="92"/>
      <c r="N23" s="92"/>
      <c r="O23" s="92"/>
      <c r="P23" s="93">
        <f>SUM(P16:P22)</f>
        <v>0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12420</v>
      </c>
      <c r="D29" s="177"/>
      <c r="E29" s="178">
        <f>$G$9</f>
        <v>1314.9475513009622</v>
      </c>
      <c r="F29" s="178"/>
      <c r="G29" s="177">
        <f>C29*E29</f>
        <v>16331648.587157952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252465</v>
      </c>
      <c r="D30" s="174"/>
      <c r="E30" s="185">
        <f>$G$10</f>
        <v>1743.1574600338647</v>
      </c>
      <c r="F30" s="185"/>
      <c r="G30" s="174">
        <f>C30*E30</f>
        <v>440086248.14744967</v>
      </c>
      <c r="H30" s="175"/>
      <c r="I30" s="17"/>
      <c r="J30" s="50" t="s">
        <v>11</v>
      </c>
      <c r="K30" s="186">
        <v>128000</v>
      </c>
      <c r="L30" s="187"/>
      <c r="M30" s="188">
        <v>1742.492949725</v>
      </c>
      <c r="N30" s="189"/>
      <c r="O30" s="174">
        <f>K30*M30</f>
        <v>223039097.56479999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12420</v>
      </c>
      <c r="D36" s="177"/>
      <c r="E36" s="177">
        <f>$G$29+$O$29</f>
        <v>16331648.587157952</v>
      </c>
      <c r="F36" s="177"/>
      <c r="G36" s="178">
        <f>E36/C36</f>
        <v>1314.9475513009622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380465</v>
      </c>
      <c r="D37" s="174"/>
      <c r="E37" s="174">
        <f>$G$30+$O$30</f>
        <v>663125345.71224964</v>
      </c>
      <c r="F37" s="174"/>
      <c r="G37" s="185">
        <f>E37/C37</f>
        <v>1742.9338985511142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12420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12420</v>
      </c>
      <c r="L43" s="231"/>
      <c r="M43" s="63">
        <f>SUM($K$43)/$D$9</f>
        <v>6.2100000000000002E-2</v>
      </c>
      <c r="N43" s="64">
        <f>$G$36</f>
        <v>1314.9475513009622</v>
      </c>
      <c r="O43" s="103"/>
      <c r="P43" s="23"/>
      <c r="Q43" s="125"/>
    </row>
    <row r="44" spans="2:25" ht="24.75" customHeight="1">
      <c r="B44" s="65" t="s">
        <v>41</v>
      </c>
      <c r="C44" s="232">
        <f>SUM($E$10)</f>
        <v>252465</v>
      </c>
      <c r="D44" s="233"/>
      <c r="E44" s="66"/>
      <c r="F44" s="234">
        <f>$K$30</f>
        <v>128000</v>
      </c>
      <c r="G44" s="235"/>
      <c r="H44" s="235">
        <f>$L$23</f>
        <v>0</v>
      </c>
      <c r="I44" s="235"/>
      <c r="J44" s="235"/>
      <c r="K44" s="236">
        <f>$C$44-$H$44+$F$44+$O$44</f>
        <v>380465</v>
      </c>
      <c r="L44" s="236"/>
      <c r="M44" s="67">
        <f>SUM($K$44)/D10</f>
        <v>0.76093</v>
      </c>
      <c r="N44" s="68">
        <f>$G$37</f>
        <v>1742.9338985511142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5:C46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>
    <pageSetUpPr fitToPage="1"/>
  </sheetPr>
  <dimension ref="B1:Y124"/>
  <sheetViews>
    <sheetView showGridLines="0" zoomScaleNormal="100" workbookViewId="0">
      <selection activeCell="N15" sqref="N15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SUM('0724 (입고)'!$K$43:$L$43)</f>
        <v>12420</v>
      </c>
      <c r="F9" s="42">
        <f>SUM(E9)/D9</f>
        <v>6.2100000000000002E-2</v>
      </c>
      <c r="G9" s="10">
        <f>SUM('0724 (입고)'!$N$43)</f>
        <v>1314.9475513009622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SUM('0724 (입고)'!$K$44:$L$44)</f>
        <v>380465</v>
      </c>
      <c r="F10" s="44">
        <f>SUM(E10)/D10</f>
        <v>0.76093</v>
      </c>
      <c r="G10" s="13">
        <f>SUM('0724 (입고)'!$N$44)</f>
        <v>1742.9338985511142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133" t="s">
        <v>61</v>
      </c>
      <c r="L16" s="16">
        <v>6000</v>
      </c>
      <c r="M16" s="37"/>
      <c r="N16" s="94">
        <f t="shared" ref="N16:N22" si="3">IF(L16="","",($G$10))</f>
        <v>1742.9338985511142</v>
      </c>
      <c r="O16" s="95">
        <f t="shared" ref="O16:O22" si="4">IF(L16="","",(SUM(M16)-N16))</f>
        <v>-1742.9338985511142</v>
      </c>
      <c r="P16" s="96">
        <f t="shared" ref="P16:P22" si="5">IF(L16="","",(L16*O16))</f>
        <v>-10457603.391306685</v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33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34"/>
      <c r="L18" s="37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36"/>
      <c r="L19" s="37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6000</v>
      </c>
      <c r="M23" s="92"/>
      <c r="N23" s="92"/>
      <c r="O23" s="92"/>
      <c r="P23" s="93">
        <f>SUM(P16:P22)</f>
        <v>-10457603.391306685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12420</v>
      </c>
      <c r="D29" s="177"/>
      <c r="E29" s="178">
        <f>$G$9</f>
        <v>1314.9475513009622</v>
      </c>
      <c r="F29" s="178"/>
      <c r="G29" s="177">
        <f>C29*E29</f>
        <v>16331648.587157952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374465</v>
      </c>
      <c r="D30" s="174"/>
      <c r="E30" s="185">
        <f>$G$10</f>
        <v>1742.9338985511142</v>
      </c>
      <c r="F30" s="185"/>
      <c r="G30" s="174">
        <f>C30*E30</f>
        <v>652667742.320943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12420</v>
      </c>
      <c r="D36" s="177"/>
      <c r="E36" s="177">
        <f>$G$29+$O$29</f>
        <v>16331648.587157952</v>
      </c>
      <c r="F36" s="177"/>
      <c r="G36" s="178">
        <f>E36/C36</f>
        <v>1314.9475513009622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374465</v>
      </c>
      <c r="D37" s="174"/>
      <c r="E37" s="174">
        <f>$G$30+$O$30</f>
        <v>652667742.320943</v>
      </c>
      <c r="F37" s="174"/>
      <c r="G37" s="185">
        <f>E37/C37</f>
        <v>1742.9338985511142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12420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12420</v>
      </c>
      <c r="L43" s="231"/>
      <c r="M43" s="63">
        <f>SUM($K$43)/$D$9</f>
        <v>6.2100000000000002E-2</v>
      </c>
      <c r="N43" s="64">
        <f>$G$36</f>
        <v>1314.9475513009622</v>
      </c>
      <c r="O43" s="103"/>
      <c r="P43" s="23"/>
      <c r="Q43" s="125"/>
    </row>
    <row r="44" spans="2:25" ht="24.75" customHeight="1">
      <c r="B44" s="65" t="s">
        <v>41</v>
      </c>
      <c r="C44" s="232">
        <f>SUM($E$10)</f>
        <v>380465</v>
      </c>
      <c r="D44" s="233"/>
      <c r="E44" s="66"/>
      <c r="F44" s="234">
        <f>$K$30</f>
        <v>0</v>
      </c>
      <c r="G44" s="235"/>
      <c r="H44" s="235">
        <f>$L$23</f>
        <v>6000</v>
      </c>
      <c r="I44" s="235"/>
      <c r="J44" s="235"/>
      <c r="K44" s="236">
        <f>$C$44-$H$44+$F$44+$O$44</f>
        <v>374465</v>
      </c>
      <c r="L44" s="236"/>
      <c r="M44" s="67">
        <f>SUM($K$44)/D10</f>
        <v>0.74892999999999998</v>
      </c>
      <c r="N44" s="68">
        <f>$G$37</f>
        <v>1742.9338985511142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>
    <tabColor rgb="FFFFFF00"/>
    <pageSetUpPr fitToPage="1"/>
  </sheetPr>
  <dimension ref="B1:Y124"/>
  <sheetViews>
    <sheetView showGridLines="0" topLeftCell="A16" zoomScaleNormal="100" workbookViewId="0">
      <selection activeCell="M36" sqref="M36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SUM('0728'!$K$43:$L$43)</f>
        <v>12420</v>
      </c>
      <c r="F9" s="42">
        <f>SUM(E9)/D9</f>
        <v>6.2100000000000002E-2</v>
      </c>
      <c r="G9" s="10">
        <f>SUM('0728'!$N$43)</f>
        <v>1314.9475513009622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SUM('0728'!$K$44:$L$44)</f>
        <v>374465</v>
      </c>
      <c r="F10" s="44">
        <f>SUM(E10)/D10</f>
        <v>0.74892999999999998</v>
      </c>
      <c r="G10" s="13">
        <f>SUM('0728'!$N$44)</f>
        <v>1742.9338985511142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133"/>
      <c r="L16" s="16"/>
      <c r="M16" s="37"/>
      <c r="N16" s="94" t="str">
        <f t="shared" ref="N16:N22" si="3">IF(L16="","",($G$10))</f>
        <v/>
      </c>
      <c r="O16" s="95" t="str">
        <f t="shared" ref="O16:O22" si="4">IF(L16="","",(SUM(M16)-N16))</f>
        <v/>
      </c>
      <c r="P16" s="96" t="str">
        <f t="shared" ref="P16:P22" si="5">IF(L16="","",(L16*O16))</f>
        <v/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33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34"/>
      <c r="L18" s="37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36"/>
      <c r="L19" s="37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0</v>
      </c>
      <c r="M23" s="92"/>
      <c r="N23" s="92"/>
      <c r="O23" s="92"/>
      <c r="P23" s="93">
        <f>SUM(P16:P22)</f>
        <v>0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12420</v>
      </c>
      <c r="D29" s="177"/>
      <c r="E29" s="178">
        <f>$G$9</f>
        <v>1314.9475513009622</v>
      </c>
      <c r="F29" s="178"/>
      <c r="G29" s="177">
        <f>C29*E29</f>
        <v>16331648.587157952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374465</v>
      </c>
      <c r="D30" s="174"/>
      <c r="E30" s="185">
        <f>$G$10</f>
        <v>1742.9338985511142</v>
      </c>
      <c r="F30" s="185"/>
      <c r="G30" s="174">
        <f>C30*E30</f>
        <v>652667742.320943</v>
      </c>
      <c r="H30" s="175"/>
      <c r="I30" s="17"/>
      <c r="J30" s="50" t="s">
        <v>11</v>
      </c>
      <c r="K30" s="186">
        <v>64000</v>
      </c>
      <c r="L30" s="187"/>
      <c r="M30" s="188">
        <v>1742.492949725</v>
      </c>
      <c r="N30" s="189"/>
      <c r="O30" s="174">
        <f>K30*M30</f>
        <v>111519548.7824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12420</v>
      </c>
      <c r="D36" s="177"/>
      <c r="E36" s="177">
        <f>$G$29+$O$29</f>
        <v>16331648.587157952</v>
      </c>
      <c r="F36" s="177"/>
      <c r="G36" s="178">
        <f>E36/C36</f>
        <v>1314.9475513009622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438465</v>
      </c>
      <c r="D37" s="174"/>
      <c r="E37" s="174">
        <f>$G$30+$O$30</f>
        <v>764187291.10334301</v>
      </c>
      <c r="F37" s="174"/>
      <c r="G37" s="185">
        <f>E37/C37</f>
        <v>1742.8695360025156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12420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12420</v>
      </c>
      <c r="L43" s="231"/>
      <c r="M43" s="63">
        <f>SUM($K$43)/$D$9</f>
        <v>6.2100000000000002E-2</v>
      </c>
      <c r="N43" s="64">
        <f>$G$36</f>
        <v>1314.9475513009622</v>
      </c>
      <c r="O43" s="103"/>
      <c r="P43" s="23"/>
      <c r="Q43" s="125"/>
    </row>
    <row r="44" spans="2:25" ht="24.75" customHeight="1">
      <c r="B44" s="65" t="s">
        <v>41</v>
      </c>
      <c r="C44" s="232">
        <f>SUM($E$10)</f>
        <v>374465</v>
      </c>
      <c r="D44" s="233"/>
      <c r="E44" s="66"/>
      <c r="F44" s="234">
        <f>$K$30</f>
        <v>64000</v>
      </c>
      <c r="G44" s="235"/>
      <c r="H44" s="235">
        <f>$L$23</f>
        <v>0</v>
      </c>
      <c r="I44" s="235"/>
      <c r="J44" s="235"/>
      <c r="K44" s="236">
        <f>$C$44-$H$44+$F$44+$O$44</f>
        <v>438465</v>
      </c>
      <c r="L44" s="236"/>
      <c r="M44" s="67">
        <f>SUM($K$44)/D10</f>
        <v>0.87692999999999999</v>
      </c>
      <c r="N44" s="68">
        <f>$G$37</f>
        <v>1742.8695360025156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5:C46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>
    <pageSetUpPr fitToPage="1"/>
  </sheetPr>
  <dimension ref="B1:Y124"/>
  <sheetViews>
    <sheetView showGridLines="0" topLeftCell="A31" zoomScaleNormal="100" workbookViewId="0">
      <selection activeCell="N44" sqref="N44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 thickBo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 thickTop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SUM('0730 (입고)'!$K$43:$L$43)</f>
        <v>12420</v>
      </c>
      <c r="F9" s="42">
        <f>SUM(E9)/D9</f>
        <v>6.2100000000000002E-2</v>
      </c>
      <c r="G9" s="10">
        <f>SUM('0730 (입고)'!$N$43)</f>
        <v>1314.9475513009622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SUM('0730 (입고)'!$K$44:$L$44)</f>
        <v>438465</v>
      </c>
      <c r="F10" s="44">
        <f>SUM(E10)/D10</f>
        <v>0.87692999999999999</v>
      </c>
      <c r="G10" s="13">
        <f>SUM('0730 (입고)'!$N$44)</f>
        <v>1742.8695360025156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133" t="s">
        <v>110</v>
      </c>
      <c r="L16" s="16">
        <v>3000</v>
      </c>
      <c r="M16" s="37"/>
      <c r="N16" s="94">
        <f t="shared" ref="N16:N22" si="3">IF(L16="","",($G$10))</f>
        <v>1742.8695360025156</v>
      </c>
      <c r="O16" s="95">
        <f t="shared" ref="O16:O22" si="4">IF(L16="","",(SUM(M16)-N16))</f>
        <v>-1742.8695360025156</v>
      </c>
      <c r="P16" s="96">
        <f t="shared" ref="P16:P22" si="5">IF(L16="","",(L16*O16))</f>
        <v>-5228608.6080075465</v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33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34"/>
      <c r="L18" s="37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36"/>
      <c r="L19" s="37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3000</v>
      </c>
      <c r="M23" s="92"/>
      <c r="N23" s="92"/>
      <c r="O23" s="92"/>
      <c r="P23" s="93">
        <f>SUM(P16:P22)</f>
        <v>-5228608.6080075465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12420</v>
      </c>
      <c r="D29" s="177"/>
      <c r="E29" s="178">
        <f>$G$9</f>
        <v>1314.9475513009622</v>
      </c>
      <c r="F29" s="178"/>
      <c r="G29" s="177">
        <f>C29*E29</f>
        <v>16331648.587157952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435465</v>
      </c>
      <c r="D30" s="174"/>
      <c r="E30" s="185">
        <f>$G$10</f>
        <v>1742.8695360025156</v>
      </c>
      <c r="F30" s="185"/>
      <c r="G30" s="174">
        <f>C30*E30</f>
        <v>758958682.49533546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12420</v>
      </c>
      <c r="D36" s="177"/>
      <c r="E36" s="177">
        <f>$G$29+$O$29</f>
        <v>16331648.587157952</v>
      </c>
      <c r="F36" s="177"/>
      <c r="G36" s="178">
        <f>E36/C36</f>
        <v>1314.9475513009622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435465</v>
      </c>
      <c r="D37" s="174"/>
      <c r="E37" s="174">
        <f>$G$30+$O$30</f>
        <v>758958682.49533546</v>
      </c>
      <c r="F37" s="174"/>
      <c r="G37" s="185">
        <f>E37/C37</f>
        <v>1742.8695360025156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12420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12420</v>
      </c>
      <c r="L43" s="231"/>
      <c r="M43" s="63">
        <f>SUM($K$43)/$D$9</f>
        <v>6.2100000000000002E-2</v>
      </c>
      <c r="N43" s="64">
        <f>$G$36</f>
        <v>1314.9475513009622</v>
      </c>
      <c r="O43" s="103"/>
      <c r="P43" s="23"/>
      <c r="Q43" s="125"/>
    </row>
    <row r="44" spans="2:25" ht="24.75" customHeight="1">
      <c r="B44" s="65" t="s">
        <v>41</v>
      </c>
      <c r="C44" s="232">
        <f>SUM($E$10)</f>
        <v>438465</v>
      </c>
      <c r="D44" s="233"/>
      <c r="E44" s="66"/>
      <c r="F44" s="234">
        <f>$K$30</f>
        <v>0</v>
      </c>
      <c r="G44" s="235"/>
      <c r="H44" s="235">
        <f>$L$23</f>
        <v>3000</v>
      </c>
      <c r="I44" s="235"/>
      <c r="J44" s="235"/>
      <c r="K44" s="236">
        <f>$C$44-$H$44+$F$44+$O$44</f>
        <v>435465</v>
      </c>
      <c r="L44" s="236"/>
      <c r="M44" s="67">
        <f>SUM($K$44)/D10</f>
        <v>0.87092999999999998</v>
      </c>
      <c r="N44" s="68">
        <f>$G$37</f>
        <v>1742.8695360025156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5:C46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>
    <pageSetUpPr fitToPage="1"/>
  </sheetPr>
  <dimension ref="B1:Y124"/>
  <sheetViews>
    <sheetView showGridLines="0" topLeftCell="A22" zoomScaleNormal="100" workbookViewId="0">
      <selection activeCell="P34" sqref="P34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 thickBo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 thickTop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SUM('0731'!$K$43:$L$43)</f>
        <v>12420</v>
      </c>
      <c r="F9" s="42">
        <f>SUM(E9)/D9</f>
        <v>6.2100000000000002E-2</v>
      </c>
      <c r="G9" s="10">
        <f>SUM('0731'!$N$43)</f>
        <v>1314.9475513009622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SUM('0731'!$K$44:$L$44)</f>
        <v>435465</v>
      </c>
      <c r="F10" s="44">
        <f>SUM(E10)/D10</f>
        <v>0.87092999999999998</v>
      </c>
      <c r="G10" s="13">
        <f>SUM('0731'!$N$44)</f>
        <v>1742.8695360025156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133" t="s">
        <v>111</v>
      </c>
      <c r="L16" s="16">
        <v>6000</v>
      </c>
      <c r="M16" s="37"/>
      <c r="N16" s="94">
        <f t="shared" ref="N16:N22" si="3">IF(L16="","",($G$10))</f>
        <v>1742.8695360025156</v>
      </c>
      <c r="O16" s="95">
        <f t="shared" ref="O16:O22" si="4">IF(L16="","",(SUM(M16)-N16))</f>
        <v>-1742.8695360025156</v>
      </c>
      <c r="P16" s="96">
        <f t="shared" ref="P16:P22" si="5">IF(L16="","",(L16*O16))</f>
        <v>-10457217.216015093</v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33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34"/>
      <c r="L18" s="37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36"/>
      <c r="L19" s="37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6000</v>
      </c>
      <c r="M23" s="92"/>
      <c r="N23" s="92"/>
      <c r="O23" s="92"/>
      <c r="P23" s="93">
        <f>SUM(P16:P22)</f>
        <v>-10457217.216015093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12420</v>
      </c>
      <c r="D29" s="177"/>
      <c r="E29" s="178">
        <f>$G$9</f>
        <v>1314.9475513009622</v>
      </c>
      <c r="F29" s="178"/>
      <c r="G29" s="177">
        <f>C29*E29</f>
        <v>16331648.587157952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429465</v>
      </c>
      <c r="D30" s="174"/>
      <c r="E30" s="185">
        <f>$G$10</f>
        <v>1742.8695360025156</v>
      </c>
      <c r="F30" s="185"/>
      <c r="G30" s="174">
        <f>C30*E30</f>
        <v>748501465.27932036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12420</v>
      </c>
      <c r="D36" s="177"/>
      <c r="E36" s="177">
        <f>$G$29+$O$29</f>
        <v>16331648.587157952</v>
      </c>
      <c r="F36" s="177"/>
      <c r="G36" s="178">
        <f>E36/C36</f>
        <v>1314.9475513009622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429465</v>
      </c>
      <c r="D37" s="174"/>
      <c r="E37" s="174">
        <f>$G$30+$O$30</f>
        <v>748501465.27932036</v>
      </c>
      <c r="F37" s="174"/>
      <c r="G37" s="185">
        <f>E37/C37</f>
        <v>1742.8695360025156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12420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12420</v>
      </c>
      <c r="L43" s="231"/>
      <c r="M43" s="63">
        <f>SUM($K$43)/$D$9</f>
        <v>6.2100000000000002E-2</v>
      </c>
      <c r="N43" s="64">
        <f>$G$36</f>
        <v>1314.9475513009622</v>
      </c>
      <c r="O43" s="103"/>
      <c r="P43" s="23"/>
      <c r="Q43" s="125"/>
    </row>
    <row r="44" spans="2:25" ht="24.75" customHeight="1">
      <c r="B44" s="65" t="s">
        <v>41</v>
      </c>
      <c r="C44" s="232">
        <f>SUM($E$10)</f>
        <v>435465</v>
      </c>
      <c r="D44" s="233"/>
      <c r="E44" s="66"/>
      <c r="F44" s="234">
        <f>$K$30</f>
        <v>0</v>
      </c>
      <c r="G44" s="235"/>
      <c r="H44" s="235">
        <f>$L$23</f>
        <v>6000</v>
      </c>
      <c r="I44" s="235"/>
      <c r="J44" s="235"/>
      <c r="K44" s="236">
        <f>$C$44-$H$44+$F$44+$O$44</f>
        <v>429465</v>
      </c>
      <c r="L44" s="236"/>
      <c r="M44" s="67">
        <f>SUM($K$44)/D10</f>
        <v>0.85892999999999997</v>
      </c>
      <c r="N44" s="68">
        <f>$G$37</f>
        <v>1742.8695360025156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>
    <pageSetUpPr fitToPage="1"/>
  </sheetPr>
  <dimension ref="B1:Y124"/>
  <sheetViews>
    <sheetView showGridLines="0" topLeftCell="A10" zoomScaleNormal="100" workbookViewId="0">
      <selection activeCell="K18" sqref="K18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 thickBo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 thickTop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SUM('0801'!$K$43:$L$43)</f>
        <v>12420</v>
      </c>
      <c r="F9" s="42">
        <f>SUM(E9)/D9</f>
        <v>6.2100000000000002E-2</v>
      </c>
      <c r="G9" s="10">
        <f>SUM('0801'!$N$43)</f>
        <v>1314.9475513009622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SUM('0801'!$K$44:$L$44)</f>
        <v>429465</v>
      </c>
      <c r="F10" s="44">
        <f>SUM(E10)/D10</f>
        <v>0.85892999999999997</v>
      </c>
      <c r="G10" s="13">
        <f>SUM('0801'!$N$44)</f>
        <v>1742.8695360025156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133" t="s">
        <v>110</v>
      </c>
      <c r="L16" s="16">
        <v>2850</v>
      </c>
      <c r="M16" s="37"/>
      <c r="N16" s="94">
        <f t="shared" ref="N16:N22" si="3">IF(L16="","",($G$10))</f>
        <v>1742.8695360025156</v>
      </c>
      <c r="O16" s="95">
        <f t="shared" ref="O16:O22" si="4">IF(L16="","",(SUM(M16)-N16))</f>
        <v>-1742.8695360025156</v>
      </c>
      <c r="P16" s="96">
        <f t="shared" ref="P16:P22" si="5">IF(L16="","",(L16*O16))</f>
        <v>-4967178.1776071694</v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33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34"/>
      <c r="L18" s="37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36"/>
      <c r="L19" s="37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2850</v>
      </c>
      <c r="M23" s="92"/>
      <c r="N23" s="92"/>
      <c r="O23" s="92"/>
      <c r="P23" s="93">
        <f>SUM(P16:P22)</f>
        <v>-4967178.1776071694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12420</v>
      </c>
      <c r="D29" s="177"/>
      <c r="E29" s="178">
        <f>$G$9</f>
        <v>1314.9475513009622</v>
      </c>
      <c r="F29" s="178"/>
      <c r="G29" s="177">
        <f>C29*E29</f>
        <v>16331648.587157952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426615</v>
      </c>
      <c r="D30" s="174"/>
      <c r="E30" s="185">
        <f>$G$10</f>
        <v>1742.8695360025156</v>
      </c>
      <c r="F30" s="185"/>
      <c r="G30" s="174">
        <f>C30*E30</f>
        <v>743534287.10171318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12420</v>
      </c>
      <c r="D36" s="177"/>
      <c r="E36" s="177">
        <f>$G$29+$O$29</f>
        <v>16331648.587157952</v>
      </c>
      <c r="F36" s="177"/>
      <c r="G36" s="178">
        <f>E36/C36</f>
        <v>1314.9475513009622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426615</v>
      </c>
      <c r="D37" s="174"/>
      <c r="E37" s="174">
        <f>$G$30+$O$30</f>
        <v>743534287.10171318</v>
      </c>
      <c r="F37" s="174"/>
      <c r="G37" s="185">
        <f>E37/C37</f>
        <v>1742.8695360025156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12420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12420</v>
      </c>
      <c r="L43" s="231"/>
      <c r="M43" s="63">
        <f>SUM($K$43)/$D$9</f>
        <v>6.2100000000000002E-2</v>
      </c>
      <c r="N43" s="64">
        <f>$G$36</f>
        <v>1314.9475513009622</v>
      </c>
      <c r="O43" s="103"/>
      <c r="P43" s="23"/>
      <c r="Q43" s="125"/>
    </row>
    <row r="44" spans="2:25" ht="24.75" customHeight="1">
      <c r="B44" s="65" t="s">
        <v>41</v>
      </c>
      <c r="C44" s="232">
        <f>SUM($E$10)</f>
        <v>429465</v>
      </c>
      <c r="D44" s="233"/>
      <c r="E44" s="66"/>
      <c r="F44" s="234">
        <f>$K$30</f>
        <v>0</v>
      </c>
      <c r="G44" s="235"/>
      <c r="H44" s="235">
        <f>$L$23</f>
        <v>2850</v>
      </c>
      <c r="I44" s="235"/>
      <c r="J44" s="235"/>
      <c r="K44" s="236">
        <f>$C$44-$H$44+$F$44+$O$44</f>
        <v>426615</v>
      </c>
      <c r="L44" s="236"/>
      <c r="M44" s="67">
        <f>SUM($K$44)/D10</f>
        <v>0.85323000000000004</v>
      </c>
      <c r="N44" s="68">
        <f>$G$37</f>
        <v>1742.8695360025156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>
    <pageSetUpPr fitToPage="1"/>
  </sheetPr>
  <dimension ref="B1:Y124"/>
  <sheetViews>
    <sheetView showGridLines="0" topLeftCell="A7" zoomScaleNormal="100" workbookViewId="0">
      <selection activeCell="R45" sqref="R45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 thickBo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 thickTop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SUM('0805'!$K$43:$L$43)</f>
        <v>12420</v>
      </c>
      <c r="F9" s="42">
        <f>SUM(E9)/D9</f>
        <v>6.2100000000000002E-2</v>
      </c>
      <c r="G9" s="10">
        <f>SUM('0805'!$N$43)</f>
        <v>1314.9475513009622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SUM('0805'!$K$44:$L$44)</f>
        <v>426615</v>
      </c>
      <c r="F10" s="44">
        <f>SUM(E10)/D10</f>
        <v>0.85323000000000004</v>
      </c>
      <c r="G10" s="13">
        <f>SUM('0805'!$N$44)</f>
        <v>1742.8695360025156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133" t="s">
        <v>112</v>
      </c>
      <c r="L16" s="16">
        <v>32000</v>
      </c>
      <c r="M16" s="37"/>
      <c r="N16" s="94">
        <f t="shared" ref="N16:N22" si="3">IF(L16="","",($G$10))</f>
        <v>1742.8695360025156</v>
      </c>
      <c r="O16" s="95">
        <f t="shared" ref="O16:O22" si="4">IF(L16="","",(SUM(M16)-N16))</f>
        <v>-1742.8695360025156</v>
      </c>
      <c r="P16" s="96">
        <f t="shared" ref="P16:P22" si="5">IF(L16="","",(L16*O16))</f>
        <v>-55771825.152080499</v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33" t="s">
        <v>46</v>
      </c>
      <c r="L17" s="16">
        <v>32000</v>
      </c>
      <c r="M17" s="16"/>
      <c r="N17" s="97">
        <f t="shared" si="3"/>
        <v>1742.8695360025156</v>
      </c>
      <c r="O17" s="98">
        <f t="shared" si="4"/>
        <v>-1742.8695360025156</v>
      </c>
      <c r="P17" s="99">
        <f t="shared" si="5"/>
        <v>-55771825.152080499</v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34" t="s">
        <v>113</v>
      </c>
      <c r="L18" s="37">
        <v>12000</v>
      </c>
      <c r="M18" s="16"/>
      <c r="N18" s="97">
        <f t="shared" si="3"/>
        <v>1742.8695360025156</v>
      </c>
      <c r="O18" s="98">
        <f t="shared" si="4"/>
        <v>-1742.8695360025156</v>
      </c>
      <c r="P18" s="99">
        <f t="shared" si="5"/>
        <v>-20914434.432030186</v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36" t="s">
        <v>114</v>
      </c>
      <c r="L19" s="37">
        <v>16000</v>
      </c>
      <c r="M19" s="16"/>
      <c r="N19" s="97">
        <f t="shared" si="3"/>
        <v>1742.8695360025156</v>
      </c>
      <c r="O19" s="98">
        <f t="shared" si="4"/>
        <v>-1742.8695360025156</v>
      </c>
      <c r="P19" s="99">
        <f t="shared" si="5"/>
        <v>-27885912.576040249</v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 t="s">
        <v>115</v>
      </c>
      <c r="L20" s="16">
        <v>28000</v>
      </c>
      <c r="M20" s="16"/>
      <c r="N20" s="97">
        <f t="shared" si="3"/>
        <v>1742.8695360025156</v>
      </c>
      <c r="O20" s="98">
        <f t="shared" si="4"/>
        <v>-1742.8695360025156</v>
      </c>
      <c r="P20" s="99">
        <f t="shared" si="5"/>
        <v>-48800347.008070439</v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120000</v>
      </c>
      <c r="M23" s="92"/>
      <c r="N23" s="92"/>
      <c r="O23" s="92"/>
      <c r="P23" s="93">
        <f>SUM(P16:P22)</f>
        <v>-209144344.32030186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12420</v>
      </c>
      <c r="D29" s="177"/>
      <c r="E29" s="178">
        <f>$G$9</f>
        <v>1314.9475513009622</v>
      </c>
      <c r="F29" s="178"/>
      <c r="G29" s="177">
        <f>C29*E29</f>
        <v>16331648.587157952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306615</v>
      </c>
      <c r="D30" s="174"/>
      <c r="E30" s="185">
        <f>$G$10</f>
        <v>1742.8695360025156</v>
      </c>
      <c r="F30" s="185"/>
      <c r="G30" s="174">
        <f>C30*E30</f>
        <v>534389942.78141129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12420</v>
      </c>
      <c r="D36" s="177"/>
      <c r="E36" s="177">
        <f>$G$29+$O$29</f>
        <v>16331648.587157952</v>
      </c>
      <c r="F36" s="177"/>
      <c r="G36" s="178">
        <f>E36/C36</f>
        <v>1314.9475513009622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306615</v>
      </c>
      <c r="D37" s="174"/>
      <c r="E37" s="174">
        <f>$G$30+$O$30</f>
        <v>534389942.78141129</v>
      </c>
      <c r="F37" s="174"/>
      <c r="G37" s="185">
        <f>E37/C37</f>
        <v>1742.8695360025156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12420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12420</v>
      </c>
      <c r="L43" s="231"/>
      <c r="M43" s="63">
        <f>SUM($K$43)/$D$9</f>
        <v>6.2100000000000002E-2</v>
      </c>
      <c r="N43" s="64">
        <f>$G$36</f>
        <v>1314.9475513009622</v>
      </c>
      <c r="O43" s="103"/>
      <c r="P43" s="23"/>
      <c r="Q43" s="125"/>
    </row>
    <row r="44" spans="2:25" ht="24.75" customHeight="1">
      <c r="B44" s="65" t="s">
        <v>41</v>
      </c>
      <c r="C44" s="232">
        <f>SUM($E$10)</f>
        <v>426615</v>
      </c>
      <c r="D44" s="233"/>
      <c r="E44" s="66"/>
      <c r="F44" s="234">
        <f>$K$30</f>
        <v>0</v>
      </c>
      <c r="G44" s="235"/>
      <c r="H44" s="235">
        <f>$L$23</f>
        <v>120000</v>
      </c>
      <c r="I44" s="235"/>
      <c r="J44" s="235"/>
      <c r="K44" s="236">
        <f>$C$44-$H$44+$F$44+$O$44</f>
        <v>306615</v>
      </c>
      <c r="L44" s="236"/>
      <c r="M44" s="67">
        <f>SUM($K$44)/D10</f>
        <v>0.61323000000000005</v>
      </c>
      <c r="N44" s="68">
        <f>$G$37</f>
        <v>1742.8695360025156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>
    <pageSetUpPr fitToPage="1"/>
  </sheetPr>
  <dimension ref="B1:Y124"/>
  <sheetViews>
    <sheetView showGridLines="0" topLeftCell="A13" zoomScaleNormal="100" workbookViewId="0">
      <selection activeCell="E9" sqref="E9:G10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SUM('0806'!$K$43:$L$43)</f>
        <v>12420</v>
      </c>
      <c r="F9" s="42">
        <f>SUM(E9)/D9</f>
        <v>6.2100000000000002E-2</v>
      </c>
      <c r="G9" s="10">
        <f>SUM('0806'!$N$43)</f>
        <v>1314.9475513009622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SUM('0806'!$K$44:$L$44)</f>
        <v>306615</v>
      </c>
      <c r="F10" s="44">
        <f>SUM(E10)/D10</f>
        <v>0.61323000000000005</v>
      </c>
      <c r="G10" s="13">
        <f>SUM('0806'!$N$44)</f>
        <v>1742.8695360025156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133" t="s">
        <v>61</v>
      </c>
      <c r="L16" s="16">
        <v>6000</v>
      </c>
      <c r="M16" s="37"/>
      <c r="N16" s="94">
        <f t="shared" ref="N16:N22" si="3">IF(L16="","",($G$10))</f>
        <v>1742.8695360025156</v>
      </c>
      <c r="O16" s="95">
        <f t="shared" ref="O16:O22" si="4">IF(L16="","",(SUM(M16)-N16))</f>
        <v>-1742.8695360025156</v>
      </c>
      <c r="P16" s="96">
        <f t="shared" ref="P16:P22" si="5">IF(L16="","",(L16*O16))</f>
        <v>-10457217.216015093</v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33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34"/>
      <c r="L18" s="37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36"/>
      <c r="L19" s="37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6000</v>
      </c>
      <c r="M23" s="92"/>
      <c r="N23" s="92"/>
      <c r="O23" s="92"/>
      <c r="P23" s="93">
        <f>SUM(P16:P22)</f>
        <v>-10457217.216015093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12420</v>
      </c>
      <c r="D29" s="177"/>
      <c r="E29" s="178">
        <f>$G$9</f>
        <v>1314.9475513009622</v>
      </c>
      <c r="F29" s="178"/>
      <c r="G29" s="177">
        <f>C29*E29</f>
        <v>16331648.587157952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300615</v>
      </c>
      <c r="D30" s="174"/>
      <c r="E30" s="185">
        <f>$G$10</f>
        <v>1742.8695360025156</v>
      </c>
      <c r="F30" s="185"/>
      <c r="G30" s="174">
        <f>C30*E30</f>
        <v>523932725.56539625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12420</v>
      </c>
      <c r="D36" s="177"/>
      <c r="E36" s="177">
        <f>$G$29+$O$29</f>
        <v>16331648.587157952</v>
      </c>
      <c r="F36" s="177"/>
      <c r="G36" s="178">
        <f>E36/C36</f>
        <v>1314.9475513009622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300615</v>
      </c>
      <c r="D37" s="174"/>
      <c r="E37" s="174">
        <f>$G$30+$O$30</f>
        <v>523932725.56539625</v>
      </c>
      <c r="F37" s="174"/>
      <c r="G37" s="185">
        <f>E37/C37</f>
        <v>1742.8695360025156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12420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12420</v>
      </c>
      <c r="L43" s="231"/>
      <c r="M43" s="63">
        <f>SUM($K$43)/$D$9</f>
        <v>6.2100000000000002E-2</v>
      </c>
      <c r="N43" s="64">
        <f>$G$36</f>
        <v>1314.9475513009622</v>
      </c>
      <c r="O43" s="103"/>
      <c r="P43" s="23"/>
      <c r="Q43" s="125"/>
    </row>
    <row r="44" spans="2:25" ht="24.75" customHeight="1">
      <c r="B44" s="65" t="s">
        <v>41</v>
      </c>
      <c r="C44" s="232">
        <f>SUM($E$10)</f>
        <v>306615</v>
      </c>
      <c r="D44" s="233"/>
      <c r="E44" s="66"/>
      <c r="F44" s="234">
        <f>$K$30</f>
        <v>0</v>
      </c>
      <c r="G44" s="235"/>
      <c r="H44" s="235">
        <f>$L$23</f>
        <v>6000</v>
      </c>
      <c r="I44" s="235"/>
      <c r="J44" s="235"/>
      <c r="K44" s="236">
        <f>$C$44-$H$44+$F$44+$O$44</f>
        <v>300615</v>
      </c>
      <c r="L44" s="236"/>
      <c r="M44" s="67">
        <f>SUM($K$44)/D10</f>
        <v>0.60123000000000004</v>
      </c>
      <c r="N44" s="68">
        <f>$G$37</f>
        <v>1742.8695360025156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5:C46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>
    <pageSetUpPr fitToPage="1"/>
  </sheetPr>
  <dimension ref="B1:Y124"/>
  <sheetViews>
    <sheetView showGridLines="0" topLeftCell="A22" zoomScaleNormal="100" workbookViewId="0">
      <selection activeCell="O37" sqref="O37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SUM('0807'!$K$43:$L$43)</f>
        <v>12420</v>
      </c>
      <c r="F9" s="42">
        <f>SUM(E9)/D9</f>
        <v>6.2100000000000002E-2</v>
      </c>
      <c r="G9" s="10">
        <f>SUM('0807'!$N$43)</f>
        <v>1314.9475513009622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SUM('0807'!$K$44:$L$44)</f>
        <v>300615</v>
      </c>
      <c r="F10" s="44">
        <f>SUM(E10)/D10</f>
        <v>0.60123000000000004</v>
      </c>
      <c r="G10" s="13">
        <f>SUM('0807'!$N$44)</f>
        <v>1742.8695360025156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 t="s">
        <v>55</v>
      </c>
      <c r="D16" s="37">
        <v>5000</v>
      </c>
      <c r="E16" s="37"/>
      <c r="F16" s="77">
        <f t="shared" ref="F16:F22" si="0">IF(D16="","",(SUM($G$9)))</f>
        <v>1314.9475513009622</v>
      </c>
      <c r="G16" s="78">
        <f t="shared" ref="G16:G22" si="1">IF(D16="","",(SUM(E16)-F16))</f>
        <v>-1314.9475513009622</v>
      </c>
      <c r="H16" s="79">
        <f t="shared" ref="H16:H22" si="2">IF(D16="","",(D16*G16))</f>
        <v>-6574737.7565048113</v>
      </c>
      <c r="I16" s="17"/>
      <c r="J16" s="159" t="s">
        <v>22</v>
      </c>
      <c r="K16" s="133" t="s">
        <v>79</v>
      </c>
      <c r="L16" s="16">
        <v>12000</v>
      </c>
      <c r="M16" s="37"/>
      <c r="N16" s="94">
        <f t="shared" ref="N16:N22" si="3">IF(L16="","",($G$10))</f>
        <v>1742.8695360025156</v>
      </c>
      <c r="O16" s="95">
        <f t="shared" ref="O16:O22" si="4">IF(L16="","",(SUM(M16)-N16))</f>
        <v>-1742.8695360025156</v>
      </c>
      <c r="P16" s="96">
        <f t="shared" ref="P16:P22" si="5">IF(L16="","",(L16*O16))</f>
        <v>-20914434.432030186</v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33" t="s">
        <v>73</v>
      </c>
      <c r="L17" s="16">
        <v>16000</v>
      </c>
      <c r="M17" s="16"/>
      <c r="N17" s="97">
        <f t="shared" si="3"/>
        <v>1742.8695360025156</v>
      </c>
      <c r="O17" s="98">
        <f t="shared" si="4"/>
        <v>-1742.8695360025156</v>
      </c>
      <c r="P17" s="99">
        <f t="shared" si="5"/>
        <v>-27885912.576040249</v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34" t="s">
        <v>43</v>
      </c>
      <c r="L18" s="37">
        <v>3000</v>
      </c>
      <c r="M18" s="16"/>
      <c r="N18" s="97">
        <f t="shared" si="3"/>
        <v>1742.8695360025156</v>
      </c>
      <c r="O18" s="98">
        <f t="shared" si="4"/>
        <v>-1742.8695360025156</v>
      </c>
      <c r="P18" s="99">
        <f t="shared" si="5"/>
        <v>-5228608.6080075465</v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36" t="s">
        <v>67</v>
      </c>
      <c r="L19" s="37">
        <v>28000</v>
      </c>
      <c r="M19" s="16"/>
      <c r="N19" s="97">
        <f t="shared" si="3"/>
        <v>1742.8695360025156</v>
      </c>
      <c r="O19" s="98">
        <f t="shared" si="4"/>
        <v>-1742.8695360025156</v>
      </c>
      <c r="P19" s="99">
        <f t="shared" si="5"/>
        <v>-48800347.008070439</v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 t="s">
        <v>61</v>
      </c>
      <c r="L20" s="16">
        <v>6000</v>
      </c>
      <c r="M20" s="16"/>
      <c r="N20" s="97">
        <f t="shared" si="3"/>
        <v>1742.8695360025156</v>
      </c>
      <c r="O20" s="98">
        <f t="shared" si="4"/>
        <v>-1742.8695360025156</v>
      </c>
      <c r="P20" s="99">
        <f t="shared" si="5"/>
        <v>-10457217.216015093</v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5000</v>
      </c>
      <c r="E23" s="75"/>
      <c r="F23" s="75"/>
      <c r="G23" s="75"/>
      <c r="H23" s="76">
        <f>SUM(H16:H22)</f>
        <v>-6574737.7565048113</v>
      </c>
      <c r="I23" s="106"/>
      <c r="J23" s="89" t="s">
        <v>24</v>
      </c>
      <c r="K23" s="90"/>
      <c r="L23" s="91">
        <f>SUM(L16:L22)</f>
        <v>65000</v>
      </c>
      <c r="M23" s="92"/>
      <c r="N23" s="92"/>
      <c r="O23" s="92"/>
      <c r="P23" s="93">
        <f>SUM(P16:P22)</f>
        <v>-113286519.84016353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7420</v>
      </c>
      <c r="D29" s="177"/>
      <c r="E29" s="178">
        <f>$G$9</f>
        <v>1314.9475513009622</v>
      </c>
      <c r="F29" s="178"/>
      <c r="G29" s="177">
        <f>C29*E29</f>
        <v>9756910.8306531403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235615</v>
      </c>
      <c r="D30" s="174"/>
      <c r="E30" s="185">
        <f>$G$10</f>
        <v>1742.8695360025156</v>
      </c>
      <c r="F30" s="185"/>
      <c r="G30" s="174">
        <f>C30*E30</f>
        <v>410646205.72523272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7420</v>
      </c>
      <c r="D36" s="177"/>
      <c r="E36" s="177">
        <f>$G$29+$O$29</f>
        <v>9756910.8306531403</v>
      </c>
      <c r="F36" s="177"/>
      <c r="G36" s="178">
        <f>E36/C36</f>
        <v>1314.9475513009622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235615</v>
      </c>
      <c r="D37" s="174"/>
      <c r="E37" s="174">
        <f>$G$30+$O$30</f>
        <v>410646205.72523272</v>
      </c>
      <c r="F37" s="174"/>
      <c r="G37" s="185">
        <f>E37/C37</f>
        <v>1742.8695360025156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12420</v>
      </c>
      <c r="D43" s="228"/>
      <c r="E43" s="62"/>
      <c r="F43" s="229">
        <f>$K$29</f>
        <v>0</v>
      </c>
      <c r="G43" s="230"/>
      <c r="H43" s="230">
        <f>$D$23</f>
        <v>5000</v>
      </c>
      <c r="I43" s="230"/>
      <c r="J43" s="230"/>
      <c r="K43" s="231">
        <f>$C$43-$H$43+$F$43+$O$43</f>
        <v>7420</v>
      </c>
      <c r="L43" s="231"/>
      <c r="M43" s="63">
        <f>SUM($K$43)/$D$9</f>
        <v>3.7100000000000001E-2</v>
      </c>
      <c r="N43" s="64">
        <f>$G$36</f>
        <v>1314.9475513009622</v>
      </c>
      <c r="O43" s="103"/>
      <c r="P43" s="23"/>
      <c r="Q43" s="125"/>
    </row>
    <row r="44" spans="2:25" ht="24.75" customHeight="1">
      <c r="B44" s="65" t="s">
        <v>41</v>
      </c>
      <c r="C44" s="232">
        <f>SUM($E$10)</f>
        <v>300615</v>
      </c>
      <c r="D44" s="233"/>
      <c r="E44" s="66"/>
      <c r="F44" s="234">
        <f>$K$30</f>
        <v>0</v>
      </c>
      <c r="G44" s="235"/>
      <c r="H44" s="235">
        <f>$L$23</f>
        <v>65000</v>
      </c>
      <c r="I44" s="235"/>
      <c r="J44" s="235"/>
      <c r="K44" s="236">
        <f>$C$44-$H$44+$F$44+$O$44</f>
        <v>235615</v>
      </c>
      <c r="L44" s="236"/>
      <c r="M44" s="67">
        <f>SUM($K$44)/D10</f>
        <v>0.47122999999999998</v>
      </c>
      <c r="N44" s="68">
        <f>$G$37</f>
        <v>1742.8695360025156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>
    <pageSetUpPr fitToPage="1"/>
  </sheetPr>
  <dimension ref="B1:Y124"/>
  <sheetViews>
    <sheetView showGridLines="0" topLeftCell="A10" zoomScaleNormal="100" workbookViewId="0">
      <selection activeCell="Q37" sqref="Q37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SUM('0811'!$K$43:$L$43)</f>
        <v>7420</v>
      </c>
      <c r="F9" s="42">
        <f>SUM(E9)/D9</f>
        <v>3.7100000000000001E-2</v>
      </c>
      <c r="G9" s="10">
        <f>SUM('0811'!$N$43)</f>
        <v>1314.9475513009622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SUM('0811'!$K$44:$L$44)</f>
        <v>235615</v>
      </c>
      <c r="F10" s="44">
        <f>SUM(E10)/D10</f>
        <v>0.47122999999999998</v>
      </c>
      <c r="G10" s="13">
        <f>SUM('0811'!$N$44)</f>
        <v>1742.8695360025156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133" t="s">
        <v>61</v>
      </c>
      <c r="L16" s="16">
        <v>3000</v>
      </c>
      <c r="M16" s="37"/>
      <c r="N16" s="94">
        <f t="shared" ref="N16:N22" si="3">IF(L16="","",($G$10))</f>
        <v>1742.8695360025156</v>
      </c>
      <c r="O16" s="95">
        <f t="shared" ref="O16:O22" si="4">IF(L16="","",(SUM(M16)-N16))</f>
        <v>-1742.8695360025156</v>
      </c>
      <c r="P16" s="96">
        <f t="shared" ref="P16:P22" si="5">IF(L16="","",(L16*O16))</f>
        <v>-5228608.6080075465</v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33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34"/>
      <c r="L18" s="37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36"/>
      <c r="L19" s="37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3000</v>
      </c>
      <c r="M23" s="92"/>
      <c r="N23" s="92"/>
      <c r="O23" s="92"/>
      <c r="P23" s="93">
        <f>SUM(P16:P22)</f>
        <v>-5228608.6080075465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7420</v>
      </c>
      <c r="D29" s="177"/>
      <c r="E29" s="178">
        <f>$G$9</f>
        <v>1314.9475513009622</v>
      </c>
      <c r="F29" s="178"/>
      <c r="G29" s="177">
        <f>C29*E29</f>
        <v>9756910.8306531403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232615</v>
      </c>
      <c r="D30" s="174"/>
      <c r="E30" s="185">
        <f>$G$10</f>
        <v>1742.8695360025156</v>
      </c>
      <c r="F30" s="185"/>
      <c r="G30" s="174">
        <f>C30*E30</f>
        <v>405417597.11722517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7420</v>
      </c>
      <c r="D36" s="177"/>
      <c r="E36" s="177">
        <f>$G$29+$O$29</f>
        <v>9756910.8306531403</v>
      </c>
      <c r="F36" s="177"/>
      <c r="G36" s="178">
        <f>E36/C36</f>
        <v>1314.9475513009622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232615</v>
      </c>
      <c r="D37" s="174"/>
      <c r="E37" s="174">
        <f>$G$30+$O$30</f>
        <v>405417597.11722517</v>
      </c>
      <c r="F37" s="174"/>
      <c r="G37" s="185">
        <f>E37/C37</f>
        <v>1742.8695360025156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7420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7420</v>
      </c>
      <c r="L43" s="231"/>
      <c r="M43" s="63">
        <f>SUM($K$43)/$D$9</f>
        <v>3.7100000000000001E-2</v>
      </c>
      <c r="N43" s="64">
        <f>$G$36</f>
        <v>1314.9475513009622</v>
      </c>
      <c r="O43" s="103"/>
      <c r="P43" s="23"/>
      <c r="Q43" s="125"/>
    </row>
    <row r="44" spans="2:25" ht="24.75" customHeight="1">
      <c r="B44" s="65" t="s">
        <v>41</v>
      </c>
      <c r="C44" s="232">
        <f>SUM($E$10)</f>
        <v>235615</v>
      </c>
      <c r="D44" s="233"/>
      <c r="E44" s="66"/>
      <c r="F44" s="234">
        <f>$K$30</f>
        <v>0</v>
      </c>
      <c r="G44" s="235"/>
      <c r="H44" s="235">
        <f>$L$23</f>
        <v>3000</v>
      </c>
      <c r="I44" s="235"/>
      <c r="J44" s="235"/>
      <c r="K44" s="236">
        <f>$C$44-$H$44+$F$44+$O$44</f>
        <v>232615</v>
      </c>
      <c r="L44" s="236"/>
      <c r="M44" s="67">
        <f>SUM($K$44)/D10</f>
        <v>0.46522999999999998</v>
      </c>
      <c r="N44" s="68">
        <f>$G$37</f>
        <v>1742.8695360025156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5:C46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>
    <tabColor rgb="FFFFFF00"/>
    <pageSetUpPr fitToPage="1"/>
  </sheetPr>
  <dimension ref="B1:Y124"/>
  <sheetViews>
    <sheetView showGridLines="0" topLeftCell="A24" zoomScaleNormal="100" workbookViewId="0">
      <selection activeCell="R44" sqref="R44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SUM('0816'!$K$43:$L$43)</f>
        <v>7420</v>
      </c>
      <c r="F9" s="42">
        <f>SUM(E9)/D9</f>
        <v>3.7100000000000001E-2</v>
      </c>
      <c r="G9" s="10">
        <f>SUM('0816'!$N$43)</f>
        <v>1314.9475513009622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SUM('0816'!$K$44:$L$44)</f>
        <v>232615</v>
      </c>
      <c r="F10" s="44">
        <f>SUM(E10)/D10</f>
        <v>0.46522999999999998</v>
      </c>
      <c r="G10" s="13">
        <f>SUM('0816'!$N$44)</f>
        <v>1742.8695360025156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133"/>
      <c r="L16" s="16"/>
      <c r="M16" s="37"/>
      <c r="N16" s="94" t="str">
        <f t="shared" ref="N16:N22" si="3">IF(L16="","",($G$10))</f>
        <v/>
      </c>
      <c r="O16" s="95" t="str">
        <f t="shared" ref="O16:O22" si="4">IF(L16="","",(SUM(M16)-N16))</f>
        <v/>
      </c>
      <c r="P16" s="96" t="str">
        <f t="shared" ref="P16:P22" si="5">IF(L16="","",(L16*O16))</f>
        <v/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33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34"/>
      <c r="L18" s="37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36"/>
      <c r="L19" s="37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0</v>
      </c>
      <c r="M23" s="92"/>
      <c r="N23" s="92"/>
      <c r="O23" s="92"/>
      <c r="P23" s="93">
        <f>SUM(P16:P22)</f>
        <v>0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7420</v>
      </c>
      <c r="D29" s="177"/>
      <c r="E29" s="178">
        <f>$G$9</f>
        <v>1314.9475513009622</v>
      </c>
      <c r="F29" s="178"/>
      <c r="G29" s="177">
        <f>C29*E29</f>
        <v>9756910.8306531403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232615</v>
      </c>
      <c r="D30" s="174"/>
      <c r="E30" s="185">
        <f>$G$10</f>
        <v>1742.8695360025156</v>
      </c>
      <c r="F30" s="185"/>
      <c r="G30" s="174">
        <f>C30*E30</f>
        <v>405417597.11722517</v>
      </c>
      <c r="H30" s="175"/>
      <c r="I30" s="17"/>
      <c r="J30" s="50" t="s">
        <v>11</v>
      </c>
      <c r="K30" s="186">
        <v>29688</v>
      </c>
      <c r="L30" s="187"/>
      <c r="M30" s="188">
        <v>1546.38161368022</v>
      </c>
      <c r="N30" s="189"/>
      <c r="O30" s="174">
        <f>K30*M30</f>
        <v>45908977.346938372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7420</v>
      </c>
      <c r="D36" s="177"/>
      <c r="E36" s="177">
        <f>$G$29+$O$29</f>
        <v>9756910.8306531403</v>
      </c>
      <c r="F36" s="177"/>
      <c r="G36" s="178">
        <f>E36/C36</f>
        <v>1314.9475513009622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262303</v>
      </c>
      <c r="D37" s="174"/>
      <c r="E37" s="174">
        <f>$G$30+$O$30</f>
        <v>451326574.46416354</v>
      </c>
      <c r="F37" s="174"/>
      <c r="G37" s="185">
        <f>E37/C37</f>
        <v>1720.6306236076734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7420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7420</v>
      </c>
      <c r="L43" s="231"/>
      <c r="M43" s="63">
        <f>SUM($K$43)/$D$9</f>
        <v>3.7100000000000001E-2</v>
      </c>
      <c r="N43" s="64">
        <f>$G$36</f>
        <v>1314.9475513009622</v>
      </c>
      <c r="O43" s="103"/>
      <c r="P43" s="23"/>
      <c r="Q43" s="125"/>
    </row>
    <row r="44" spans="2:25" ht="24.75" customHeight="1">
      <c r="B44" s="65" t="s">
        <v>41</v>
      </c>
      <c r="C44" s="232">
        <f>SUM($E$10)</f>
        <v>232615</v>
      </c>
      <c r="D44" s="233"/>
      <c r="E44" s="66"/>
      <c r="F44" s="234">
        <f>$K$30</f>
        <v>29688</v>
      </c>
      <c r="G44" s="235"/>
      <c r="H44" s="235">
        <f>$L$23</f>
        <v>0</v>
      </c>
      <c r="I44" s="235"/>
      <c r="J44" s="235"/>
      <c r="K44" s="236">
        <f>$C$44-$H$44+$F$44+$O$44</f>
        <v>262303</v>
      </c>
      <c r="L44" s="236"/>
      <c r="M44" s="67">
        <f>SUM($K$44)/D10</f>
        <v>0.52460600000000002</v>
      </c>
      <c r="N44" s="68">
        <f>$G$37</f>
        <v>1720.6306236076734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>
    <pageSetUpPr fitToPage="1"/>
  </sheetPr>
  <dimension ref="B1:Y124"/>
  <sheetViews>
    <sheetView showGridLines="0" topLeftCell="A28" zoomScaleNormal="100" workbookViewId="0">
      <selection activeCell="K30" sqref="K30:L30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SUM('0818 (입고)'!$K$43:$L$43)</f>
        <v>7420</v>
      </c>
      <c r="F9" s="42">
        <f>SUM(E9)/D9</f>
        <v>3.7100000000000001E-2</v>
      </c>
      <c r="G9" s="10">
        <f>SUM('0818 (입고)'!$N$43)</f>
        <v>1314.9475513009622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SUM('0818 (입고)'!$K$44:$L$44)</f>
        <v>262303</v>
      </c>
      <c r="F10" s="44">
        <f>SUM(E10)/D10</f>
        <v>0.52460600000000002</v>
      </c>
      <c r="G10" s="13">
        <f>SUM('0818 (입고)'!$N$44)</f>
        <v>1720.6306236076734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133" t="s">
        <v>73</v>
      </c>
      <c r="L16" s="16">
        <v>20000</v>
      </c>
      <c r="M16" s="37"/>
      <c r="N16" s="94">
        <f t="shared" ref="N16:N22" si="3">IF(L16="","",($G$10))</f>
        <v>1720.6306236076734</v>
      </c>
      <c r="O16" s="95">
        <f t="shared" ref="O16:O22" si="4">IF(L16="","",(SUM(M16)-N16))</f>
        <v>-1720.6306236076734</v>
      </c>
      <c r="P16" s="96">
        <f t="shared" ref="P16:P22" si="5">IF(L16="","",(L16*O16))</f>
        <v>-34412612.47215347</v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33" t="s">
        <v>82</v>
      </c>
      <c r="L17" s="16">
        <v>29688</v>
      </c>
      <c r="M17" s="16"/>
      <c r="N17" s="97">
        <f t="shared" si="3"/>
        <v>1720.6306236076734</v>
      </c>
      <c r="O17" s="98">
        <f t="shared" si="4"/>
        <v>-1720.6306236076734</v>
      </c>
      <c r="P17" s="99">
        <f t="shared" si="5"/>
        <v>-51082081.953664608</v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34"/>
      <c r="L18" s="37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36"/>
      <c r="L19" s="37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49688</v>
      </c>
      <c r="M23" s="92"/>
      <c r="N23" s="92"/>
      <c r="O23" s="92"/>
      <c r="P23" s="93">
        <f>SUM(P16:P22)</f>
        <v>-85494694.425818086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7420</v>
      </c>
      <c r="D29" s="177"/>
      <c r="E29" s="178">
        <f>$G$9</f>
        <v>1314.9475513009622</v>
      </c>
      <c r="F29" s="178"/>
      <c r="G29" s="177">
        <f>C29*E29</f>
        <v>9756910.8306531403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212615</v>
      </c>
      <c r="D30" s="174"/>
      <c r="E30" s="185">
        <f>$G$10</f>
        <v>1720.6306236076734</v>
      </c>
      <c r="F30" s="185"/>
      <c r="G30" s="174">
        <f>C30*E30</f>
        <v>365831880.03834552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7420</v>
      </c>
      <c r="D36" s="177"/>
      <c r="E36" s="177">
        <f>$G$29+$O$29</f>
        <v>9756910.8306531403</v>
      </c>
      <c r="F36" s="177"/>
      <c r="G36" s="178">
        <f>E36/C36</f>
        <v>1314.9475513009622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212615</v>
      </c>
      <c r="D37" s="174"/>
      <c r="E37" s="174">
        <f>$G$30+$O$30</f>
        <v>365831880.03834552</v>
      </c>
      <c r="F37" s="174"/>
      <c r="G37" s="185">
        <f>E37/C37</f>
        <v>1720.6306236076737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7420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7420</v>
      </c>
      <c r="L43" s="231"/>
      <c r="M43" s="63">
        <f>SUM($K$43)/$D$9</f>
        <v>3.7100000000000001E-2</v>
      </c>
      <c r="N43" s="64">
        <f>$G$36</f>
        <v>1314.9475513009622</v>
      </c>
      <c r="O43" s="103"/>
      <c r="P43" s="23"/>
      <c r="Q43" s="125"/>
    </row>
    <row r="44" spans="2:25" ht="24.75" customHeight="1">
      <c r="B44" s="65" t="s">
        <v>41</v>
      </c>
      <c r="C44" s="232">
        <f>SUM($E$10)</f>
        <v>262303</v>
      </c>
      <c r="D44" s="233"/>
      <c r="E44" s="66"/>
      <c r="F44" s="234">
        <f>$K$30</f>
        <v>0</v>
      </c>
      <c r="G44" s="235"/>
      <c r="H44" s="235">
        <f>$L$23</f>
        <v>49688</v>
      </c>
      <c r="I44" s="235"/>
      <c r="J44" s="235"/>
      <c r="K44" s="236">
        <f>$C$44-$H$44+$F$44+$O$44</f>
        <v>212615</v>
      </c>
      <c r="L44" s="236"/>
      <c r="M44" s="67">
        <f>SUM($K$44)/D10</f>
        <v>0.42523</v>
      </c>
      <c r="N44" s="68">
        <f>$G$37</f>
        <v>1720.6306236076737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>
    <tabColor rgb="FFFFFF00"/>
    <pageSetUpPr fitToPage="1"/>
  </sheetPr>
  <dimension ref="B1:Y124"/>
  <sheetViews>
    <sheetView showGridLines="0" topLeftCell="A18" zoomScaleNormal="100" workbookViewId="0">
      <selection activeCell="M30" sqref="M30:N30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SUM('0818'!$K$43:$L$43)</f>
        <v>7420</v>
      </c>
      <c r="F9" s="42">
        <f>SUM(E9)/D9</f>
        <v>3.7100000000000001E-2</v>
      </c>
      <c r="G9" s="10">
        <f>SUM('0818'!$N$43)</f>
        <v>1314.9475513009622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SUM('0818'!$K$44:$L$44)</f>
        <v>212615</v>
      </c>
      <c r="F10" s="44">
        <f>SUM(E10)/D10</f>
        <v>0.42523</v>
      </c>
      <c r="G10" s="13">
        <f>SUM('0818'!$N$44)</f>
        <v>1720.6306236076737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133"/>
      <c r="L16" s="16"/>
      <c r="M16" s="37"/>
      <c r="N16" s="94" t="str">
        <f t="shared" ref="N16:N22" si="3">IF(L16="","",($G$10))</f>
        <v/>
      </c>
      <c r="O16" s="95" t="str">
        <f t="shared" ref="O16:O22" si="4">IF(L16="","",(SUM(M16)-N16))</f>
        <v/>
      </c>
      <c r="P16" s="96" t="str">
        <f t="shared" ref="P16:P22" si="5">IF(L16="","",(L16*O16))</f>
        <v/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33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34"/>
      <c r="L18" s="37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36"/>
      <c r="L19" s="37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0</v>
      </c>
      <c r="M23" s="92"/>
      <c r="N23" s="92"/>
      <c r="O23" s="92"/>
      <c r="P23" s="93">
        <f>SUM(P16:P22)</f>
        <v>0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7420</v>
      </c>
      <c r="D29" s="177"/>
      <c r="E29" s="178">
        <f>$G$9</f>
        <v>1314.9475513009622</v>
      </c>
      <c r="F29" s="178"/>
      <c r="G29" s="177">
        <f>C29*E29</f>
        <v>9756910.8306531403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212615</v>
      </c>
      <c r="D30" s="174"/>
      <c r="E30" s="185">
        <f>$G$10</f>
        <v>1720.6306236076737</v>
      </c>
      <c r="F30" s="185"/>
      <c r="G30" s="174">
        <f>C30*E30</f>
        <v>365831880.03834552</v>
      </c>
      <c r="H30" s="175"/>
      <c r="I30" s="17"/>
      <c r="J30" s="50" t="s">
        <v>11</v>
      </c>
      <c r="K30" s="186">
        <v>29721</v>
      </c>
      <c r="L30" s="187"/>
      <c r="M30" s="188">
        <v>1546.38161368022</v>
      </c>
      <c r="N30" s="189"/>
      <c r="O30" s="174">
        <f>K30*M30</f>
        <v>45960007.940189816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7420</v>
      </c>
      <c r="D36" s="177"/>
      <c r="E36" s="177">
        <f>$G$29+$O$29</f>
        <v>9756910.8306531403</v>
      </c>
      <c r="F36" s="177"/>
      <c r="G36" s="178">
        <f>E36/C36</f>
        <v>1314.9475513009622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242336</v>
      </c>
      <c r="D37" s="174"/>
      <c r="E37" s="174">
        <f>$G$30+$O$30</f>
        <v>411791887.97853535</v>
      </c>
      <c r="F37" s="174"/>
      <c r="G37" s="185">
        <f>E37/C37</f>
        <v>1699.2600685764201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7420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7420</v>
      </c>
      <c r="L43" s="231"/>
      <c r="M43" s="63">
        <f>SUM($K$43)/$D$9</f>
        <v>3.7100000000000001E-2</v>
      </c>
      <c r="N43" s="64">
        <f>$G$36</f>
        <v>1314.9475513009622</v>
      </c>
      <c r="O43" s="103"/>
      <c r="P43" s="23"/>
      <c r="Q43" s="125"/>
    </row>
    <row r="44" spans="2:25" ht="24.75" customHeight="1">
      <c r="B44" s="65" t="s">
        <v>41</v>
      </c>
      <c r="C44" s="232">
        <f>SUM($E$10)</f>
        <v>212615</v>
      </c>
      <c r="D44" s="233"/>
      <c r="E44" s="66"/>
      <c r="F44" s="234">
        <f>$K$30</f>
        <v>29721</v>
      </c>
      <c r="G44" s="235"/>
      <c r="H44" s="235">
        <f>$L$23</f>
        <v>0</v>
      </c>
      <c r="I44" s="235"/>
      <c r="J44" s="235"/>
      <c r="K44" s="236">
        <f>$C$44-$H$44+$F$44+$O$44</f>
        <v>242336</v>
      </c>
      <c r="L44" s="236"/>
      <c r="M44" s="67">
        <f>SUM($K$44)/D10</f>
        <v>0.48467199999999999</v>
      </c>
      <c r="N44" s="68">
        <f>$G$37</f>
        <v>1699.2600685764201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sheetPr>
    <pageSetUpPr fitToPage="1"/>
  </sheetPr>
  <dimension ref="B1:Y124"/>
  <sheetViews>
    <sheetView showGridLines="0" topLeftCell="A4" zoomScaleNormal="100" workbookViewId="0">
      <selection activeCell="L17" sqref="L17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SUM('0819 (입고)'!$K$43:$L$43)</f>
        <v>7420</v>
      </c>
      <c r="F9" s="42">
        <f>SUM(E9)/D9</f>
        <v>3.7100000000000001E-2</v>
      </c>
      <c r="G9" s="10">
        <f>SUM('0819 (입고)'!$N$43)</f>
        <v>1314.9475513009622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SUM('0819 (입고)'!$K$44:$L$44)</f>
        <v>242336</v>
      </c>
      <c r="F10" s="44">
        <f>SUM(E10)/D10</f>
        <v>0.48467199999999999</v>
      </c>
      <c r="G10" s="13">
        <f>SUM('0819 (입고)'!$N$44)</f>
        <v>1699.2600685764201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133" t="s">
        <v>82</v>
      </c>
      <c r="L16" s="16">
        <v>29721</v>
      </c>
      <c r="M16" s="37"/>
      <c r="N16" s="94">
        <f t="shared" ref="N16:N22" si="3">IF(L16="","",($G$10))</f>
        <v>1699.2600685764201</v>
      </c>
      <c r="O16" s="95">
        <f t="shared" ref="O16:O22" si="4">IF(L16="","",(SUM(M16)-N16))</f>
        <v>-1699.2600685764201</v>
      </c>
      <c r="P16" s="96">
        <f t="shared" ref="P16:P22" si="5">IF(L16="","",(L16*O16))</f>
        <v>-50503708.498159781</v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33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34"/>
      <c r="L18" s="37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36"/>
      <c r="L19" s="37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29721</v>
      </c>
      <c r="M23" s="92"/>
      <c r="N23" s="92"/>
      <c r="O23" s="92"/>
      <c r="P23" s="93">
        <f>SUM(P16:P22)</f>
        <v>-50503708.498159781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7420</v>
      </c>
      <c r="D29" s="177"/>
      <c r="E29" s="178">
        <f>$G$9</f>
        <v>1314.9475513009622</v>
      </c>
      <c r="F29" s="178"/>
      <c r="G29" s="177">
        <f>C29*E29</f>
        <v>9756910.8306531403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212615</v>
      </c>
      <c r="D30" s="174"/>
      <c r="E30" s="185">
        <f>$G$10</f>
        <v>1699.2600685764201</v>
      </c>
      <c r="F30" s="185"/>
      <c r="G30" s="174">
        <f>C30*E30</f>
        <v>361288179.48037553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7420</v>
      </c>
      <c r="D36" s="177"/>
      <c r="E36" s="177">
        <f>$G$29+$O$29</f>
        <v>9756910.8306531403</v>
      </c>
      <c r="F36" s="177"/>
      <c r="G36" s="178">
        <f>E36/C36</f>
        <v>1314.9475513009622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212615</v>
      </c>
      <c r="D37" s="174"/>
      <c r="E37" s="174">
        <f>$G$30+$O$30</f>
        <v>361288179.48037553</v>
      </c>
      <c r="F37" s="174"/>
      <c r="G37" s="185">
        <f>E37/C37</f>
        <v>1699.2600685764201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7420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7420</v>
      </c>
      <c r="L43" s="231"/>
      <c r="M43" s="63">
        <f>SUM($K$43)/$D$9</f>
        <v>3.7100000000000001E-2</v>
      </c>
      <c r="N43" s="64">
        <f>$G$36</f>
        <v>1314.9475513009622</v>
      </c>
      <c r="O43" s="103"/>
      <c r="P43" s="23"/>
      <c r="Q43" s="125"/>
    </row>
    <row r="44" spans="2:25" ht="24.75" customHeight="1">
      <c r="B44" s="65" t="s">
        <v>41</v>
      </c>
      <c r="C44" s="232">
        <f>SUM($E$10)</f>
        <v>242336</v>
      </c>
      <c r="D44" s="233"/>
      <c r="E44" s="66"/>
      <c r="F44" s="234">
        <f>$K$30</f>
        <v>0</v>
      </c>
      <c r="G44" s="235"/>
      <c r="H44" s="235">
        <f>$L$23</f>
        <v>29721</v>
      </c>
      <c r="I44" s="235"/>
      <c r="J44" s="235"/>
      <c r="K44" s="236">
        <f>$C$44-$H$44+$F$44+$O$44</f>
        <v>212615</v>
      </c>
      <c r="L44" s="236"/>
      <c r="M44" s="67">
        <f>SUM($K$44)/D10</f>
        <v>0.42523</v>
      </c>
      <c r="N44" s="68">
        <f>$G$37</f>
        <v>1699.2600685764201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sheetPr>
    <pageSetUpPr fitToPage="1"/>
  </sheetPr>
  <dimension ref="B1:Y124"/>
  <sheetViews>
    <sheetView showGridLines="0" topLeftCell="A7" zoomScaleNormal="100" workbookViewId="0">
      <selection activeCell="G45" sqref="G45:O45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SUM('0819'!$K$43:$L$43)</f>
        <v>7420</v>
      </c>
      <c r="F9" s="42">
        <f>SUM(E9)/D9</f>
        <v>3.7100000000000001E-2</v>
      </c>
      <c r="G9" s="10">
        <f>SUM('0819'!$N$43)</f>
        <v>1314.9475513009622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SUM('0819'!$K$44:$L$44)</f>
        <v>212615</v>
      </c>
      <c r="F10" s="44">
        <f>SUM(E10)/D10</f>
        <v>0.42523</v>
      </c>
      <c r="G10" s="13">
        <f>SUM('0819'!$N$44)</f>
        <v>1699.2600685764201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133" t="s">
        <v>81</v>
      </c>
      <c r="L16" s="16">
        <v>28000</v>
      </c>
      <c r="M16" s="37"/>
      <c r="N16" s="94">
        <f t="shared" ref="N16:N22" si="3">IF(L16="","",($G$10))</f>
        <v>1699.2600685764201</v>
      </c>
      <c r="O16" s="95">
        <f t="shared" ref="O16:O22" si="4">IF(L16="","",(SUM(M16)-N16))</f>
        <v>-1699.2600685764201</v>
      </c>
      <c r="P16" s="96">
        <f t="shared" ref="P16:P22" si="5">IF(L16="","",(L16*O16))</f>
        <v>-47579281.92013976</v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33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34"/>
      <c r="L18" s="37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36"/>
      <c r="L19" s="37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28000</v>
      </c>
      <c r="M23" s="92"/>
      <c r="N23" s="92"/>
      <c r="O23" s="92"/>
      <c r="P23" s="93">
        <f>SUM(P16:P22)</f>
        <v>-47579281.92013976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7420</v>
      </c>
      <c r="D29" s="177"/>
      <c r="E29" s="178">
        <f>$G$9</f>
        <v>1314.9475513009622</v>
      </c>
      <c r="F29" s="178"/>
      <c r="G29" s="177">
        <f>C29*E29</f>
        <v>9756910.8306531403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184615</v>
      </c>
      <c r="D30" s="174"/>
      <c r="E30" s="185">
        <f>$G$10</f>
        <v>1699.2600685764201</v>
      </c>
      <c r="F30" s="185"/>
      <c r="G30" s="174">
        <f>C30*E30</f>
        <v>313708897.5602358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7420</v>
      </c>
      <c r="D36" s="177"/>
      <c r="E36" s="177">
        <f>$G$29+$O$29</f>
        <v>9756910.8306531403</v>
      </c>
      <c r="F36" s="177"/>
      <c r="G36" s="178">
        <f>E36/C36</f>
        <v>1314.9475513009622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184615</v>
      </c>
      <c r="D37" s="174"/>
      <c r="E37" s="174">
        <f>$G$30+$O$30</f>
        <v>313708897.5602358</v>
      </c>
      <c r="F37" s="174"/>
      <c r="G37" s="185">
        <f>E37/C37</f>
        <v>1699.2600685764201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7420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7342</v>
      </c>
      <c r="L43" s="231"/>
      <c r="M43" s="63">
        <f>SUM($K$43)/$D$9</f>
        <v>3.671E-2</v>
      </c>
      <c r="N43" s="64">
        <f>$G$36</f>
        <v>1314.9475513009622</v>
      </c>
      <c r="O43" s="103">
        <v>-78</v>
      </c>
      <c r="P43" s="23"/>
      <c r="Q43" s="125"/>
    </row>
    <row r="44" spans="2:25" ht="24.75" customHeight="1">
      <c r="B44" s="65" t="s">
        <v>41</v>
      </c>
      <c r="C44" s="232">
        <f>SUM($E$10)</f>
        <v>212615</v>
      </c>
      <c r="D44" s="233"/>
      <c r="E44" s="66"/>
      <c r="F44" s="234">
        <f>$K$30</f>
        <v>0</v>
      </c>
      <c r="G44" s="235"/>
      <c r="H44" s="235">
        <f>$L$23</f>
        <v>28000</v>
      </c>
      <c r="I44" s="235"/>
      <c r="J44" s="235"/>
      <c r="K44" s="236">
        <f>$C$44-$H$44+$F$44+$O$44</f>
        <v>184005</v>
      </c>
      <c r="L44" s="236"/>
      <c r="M44" s="67">
        <f>SUM($K$44)/D10</f>
        <v>0.36801</v>
      </c>
      <c r="N44" s="68">
        <f>$G$37</f>
        <v>1699.2600685764201</v>
      </c>
      <c r="O44" s="104">
        <v>-610</v>
      </c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sheetPr>
    <pageSetUpPr fitToPage="1"/>
  </sheetPr>
  <dimension ref="B1:Y124"/>
  <sheetViews>
    <sheetView showGridLines="0" topLeftCell="A25" zoomScaleNormal="100" workbookViewId="0">
      <selection activeCell="P32" sqref="P32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SUM('0820'!$K$43:$L$43)</f>
        <v>7342</v>
      </c>
      <c r="F9" s="42">
        <f>SUM(E9)/D9</f>
        <v>3.671E-2</v>
      </c>
      <c r="G9" s="10">
        <f>SUM('0820'!$N$43)</f>
        <v>1314.9475513009622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SUM('0820'!$K$44:$L$44)</f>
        <v>184005</v>
      </c>
      <c r="F10" s="44">
        <f>SUM(E10)/D10</f>
        <v>0.36801</v>
      </c>
      <c r="G10" s="13">
        <f>SUM('0820'!$N$44)</f>
        <v>1699.2600685764201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133" t="s">
        <v>61</v>
      </c>
      <c r="L16" s="16">
        <v>1000</v>
      </c>
      <c r="M16" s="37"/>
      <c r="N16" s="94">
        <f t="shared" ref="N16:N22" si="3">IF(L16="","",($G$10))</f>
        <v>1699.2600685764201</v>
      </c>
      <c r="O16" s="95">
        <f t="shared" ref="O16:O22" si="4">IF(L16="","",(SUM(M16)-N16))</f>
        <v>-1699.2600685764201</v>
      </c>
      <c r="P16" s="96">
        <f t="shared" ref="P16:P22" si="5">IF(L16="","",(L16*O16))</f>
        <v>-1699260.06857642</v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33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34"/>
      <c r="L18" s="37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36"/>
      <c r="L19" s="37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1000</v>
      </c>
      <c r="M23" s="92"/>
      <c r="N23" s="92"/>
      <c r="O23" s="92"/>
      <c r="P23" s="93">
        <f>SUM(P16:P22)</f>
        <v>-1699260.06857642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7342</v>
      </c>
      <c r="D29" s="177"/>
      <c r="E29" s="178">
        <f>$G$9</f>
        <v>1314.9475513009622</v>
      </c>
      <c r="F29" s="178"/>
      <c r="G29" s="177">
        <f>C29*E29</f>
        <v>9654344.9216516651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183005</v>
      </c>
      <c r="D30" s="174"/>
      <c r="E30" s="185">
        <f>$G$10</f>
        <v>1699.2600685764201</v>
      </c>
      <c r="F30" s="185"/>
      <c r="G30" s="174">
        <f>C30*E30</f>
        <v>310973088.84982777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7342</v>
      </c>
      <c r="D36" s="177"/>
      <c r="E36" s="177">
        <f>$G$29+$O$29</f>
        <v>9654344.9216516651</v>
      </c>
      <c r="F36" s="177"/>
      <c r="G36" s="178">
        <f>E36/C36</f>
        <v>1314.9475513009622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183005</v>
      </c>
      <c r="D37" s="174"/>
      <c r="E37" s="174">
        <f>$G$30+$O$30</f>
        <v>310973088.84982777</v>
      </c>
      <c r="F37" s="174"/>
      <c r="G37" s="185">
        <f>E37/C37</f>
        <v>1699.2600685764201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7342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7342</v>
      </c>
      <c r="L43" s="231"/>
      <c r="M43" s="63">
        <f>SUM($K$43)/$D$9</f>
        <v>3.671E-2</v>
      </c>
      <c r="N43" s="64">
        <f>$G$36</f>
        <v>1314.9475513009622</v>
      </c>
      <c r="O43" s="103"/>
      <c r="P43" s="23"/>
      <c r="Q43" s="125"/>
    </row>
    <row r="44" spans="2:25" ht="24.75" customHeight="1">
      <c r="B44" s="65" t="s">
        <v>41</v>
      </c>
      <c r="C44" s="232">
        <f>SUM($E$10)</f>
        <v>184005</v>
      </c>
      <c r="D44" s="233"/>
      <c r="E44" s="66"/>
      <c r="F44" s="234">
        <f>$K$30</f>
        <v>0</v>
      </c>
      <c r="G44" s="235"/>
      <c r="H44" s="235">
        <f>$L$23</f>
        <v>1000</v>
      </c>
      <c r="I44" s="235"/>
      <c r="J44" s="235"/>
      <c r="K44" s="236">
        <f>$C$44-$H$44+$F$44+$O$44</f>
        <v>183005</v>
      </c>
      <c r="L44" s="236"/>
      <c r="M44" s="67">
        <f>SUM($K$44)/D10</f>
        <v>0.36601</v>
      </c>
      <c r="N44" s="68">
        <f>$G$37</f>
        <v>1699.2600685764201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5:C46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sheetPr>
    <tabColor rgb="FFFFFF00"/>
    <pageSetUpPr fitToPage="1"/>
  </sheetPr>
  <dimension ref="B1:Y124"/>
  <sheetViews>
    <sheetView showGridLines="0" topLeftCell="A19" zoomScaleNormal="100" workbookViewId="0">
      <selection activeCell="M30" sqref="M30:N30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SUM('0821'!$K$43:$L$43)</f>
        <v>7342</v>
      </c>
      <c r="F9" s="42">
        <f>SUM(E9)/D9</f>
        <v>3.671E-2</v>
      </c>
      <c r="G9" s="10">
        <f>SUM('0821'!$N$43)</f>
        <v>1314.9475513009622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SUM('0821'!$K$44:$L$44)</f>
        <v>183005</v>
      </c>
      <c r="F10" s="44">
        <f>SUM(E10)/D10</f>
        <v>0.36601</v>
      </c>
      <c r="G10" s="13">
        <f>SUM('0821'!$N$44)</f>
        <v>1699.2600685764201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133"/>
      <c r="L16" s="16"/>
      <c r="M16" s="37"/>
      <c r="N16" s="94" t="str">
        <f t="shared" ref="N16:N22" si="3">IF(L16="","",($G$10))</f>
        <v/>
      </c>
      <c r="O16" s="95" t="str">
        <f t="shared" ref="O16:O22" si="4">IF(L16="","",(SUM(M16)-N16))</f>
        <v/>
      </c>
      <c r="P16" s="96" t="str">
        <f t="shared" ref="P16:P22" si="5">IF(L16="","",(L16*O16))</f>
        <v/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33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34"/>
      <c r="L18" s="37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36"/>
      <c r="L19" s="37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0</v>
      </c>
      <c r="M23" s="92"/>
      <c r="N23" s="92"/>
      <c r="O23" s="92"/>
      <c r="P23" s="93">
        <f>SUM(P16:P22)</f>
        <v>0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7342</v>
      </c>
      <c r="D29" s="177"/>
      <c r="E29" s="178">
        <f>$G$9</f>
        <v>1314.9475513009622</v>
      </c>
      <c r="F29" s="178"/>
      <c r="G29" s="177">
        <f>C29*E29</f>
        <v>9654344.9216516651</v>
      </c>
      <c r="H29" s="179"/>
      <c r="I29" s="17"/>
      <c r="J29" s="49" t="s">
        <v>9</v>
      </c>
      <c r="K29" s="180">
        <v>8000</v>
      </c>
      <c r="L29" s="181"/>
      <c r="M29" s="182">
        <v>1355.33882451729</v>
      </c>
      <c r="N29" s="183"/>
      <c r="O29" s="177">
        <f>K29*M29</f>
        <v>10842710.596138321</v>
      </c>
      <c r="P29" s="179"/>
      <c r="R29" s="18"/>
    </row>
    <row r="30" spans="2:18" ht="22.5" customHeight="1">
      <c r="B30" s="50" t="s">
        <v>11</v>
      </c>
      <c r="C30" s="184">
        <f>$E$10-$L$23</f>
        <v>183005</v>
      </c>
      <c r="D30" s="174"/>
      <c r="E30" s="185">
        <f>$G$10</f>
        <v>1699.2600685764201</v>
      </c>
      <c r="F30" s="185"/>
      <c r="G30" s="174">
        <f>C30*E30</f>
        <v>310973088.84982777</v>
      </c>
      <c r="H30" s="175"/>
      <c r="I30" s="17"/>
      <c r="J30" s="50" t="s">
        <v>11</v>
      </c>
      <c r="K30" s="186">
        <v>83777</v>
      </c>
      <c r="L30" s="187"/>
      <c r="M30" s="188">
        <v>1546.38161368022</v>
      </c>
      <c r="N30" s="189"/>
      <c r="O30" s="174">
        <f>K30*M30</f>
        <v>129551212.44928779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15342</v>
      </c>
      <c r="D36" s="177"/>
      <c r="E36" s="177">
        <f>$G$29+$O$29</f>
        <v>20497055.517789986</v>
      </c>
      <c r="F36" s="177"/>
      <c r="G36" s="178">
        <f>E36/C36</f>
        <v>1336.0093545685038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266782</v>
      </c>
      <c r="D37" s="174"/>
      <c r="E37" s="174">
        <f>$G$30+$O$30</f>
        <v>440524301.29911554</v>
      </c>
      <c r="F37" s="174"/>
      <c r="G37" s="185">
        <f>E37/C37</f>
        <v>1651.2519633975139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7342</v>
      </c>
      <c r="D43" s="228"/>
      <c r="E43" s="62"/>
      <c r="F43" s="229">
        <f>$K$29</f>
        <v>8000</v>
      </c>
      <c r="G43" s="230"/>
      <c r="H43" s="230">
        <f>$D$23</f>
        <v>0</v>
      </c>
      <c r="I43" s="230"/>
      <c r="J43" s="230"/>
      <c r="K43" s="231">
        <f>$C$43-$H$43+$F$43+$O$43</f>
        <v>15342</v>
      </c>
      <c r="L43" s="231"/>
      <c r="M43" s="63">
        <f>SUM($K$43)/$D$9</f>
        <v>7.671E-2</v>
      </c>
      <c r="N43" s="64">
        <f>$G$36</f>
        <v>1336.0093545685038</v>
      </c>
      <c r="O43" s="103"/>
      <c r="P43" s="23"/>
      <c r="Q43" s="125"/>
    </row>
    <row r="44" spans="2:25" ht="24.75" customHeight="1">
      <c r="B44" s="65" t="s">
        <v>41</v>
      </c>
      <c r="C44" s="232">
        <f>SUM($E$10)</f>
        <v>183005</v>
      </c>
      <c r="D44" s="233"/>
      <c r="E44" s="66"/>
      <c r="F44" s="234">
        <f>$K$30</f>
        <v>83777</v>
      </c>
      <c r="G44" s="235"/>
      <c r="H44" s="235">
        <f>$L$23</f>
        <v>0</v>
      </c>
      <c r="I44" s="235"/>
      <c r="J44" s="235"/>
      <c r="K44" s="236">
        <f>$C$44-$H$44+$F$44+$O$44</f>
        <v>266782</v>
      </c>
      <c r="L44" s="236"/>
      <c r="M44" s="67">
        <f>SUM($K$44)/D10</f>
        <v>0.53356400000000004</v>
      </c>
      <c r="N44" s="68">
        <f>$G$37</f>
        <v>1651.2519633975139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sheetPr>
    <pageSetUpPr fitToPage="1"/>
  </sheetPr>
  <dimension ref="B1:Y124"/>
  <sheetViews>
    <sheetView showGridLines="0" topLeftCell="A13" zoomScaleNormal="100" workbookViewId="0">
      <selection activeCell="D17" sqref="D17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SUM('0822 (입고)'!$K$43:$L$43)</f>
        <v>15342</v>
      </c>
      <c r="F9" s="42">
        <f>SUM(E9)/D9</f>
        <v>7.671E-2</v>
      </c>
      <c r="G9" s="10">
        <f>SUM('0822 (입고)'!$N$43)</f>
        <v>1336.0093545685038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SUM('0822 (입고)'!$K$44:$L$44)</f>
        <v>266782</v>
      </c>
      <c r="F10" s="44">
        <f>SUM(E10)/D10</f>
        <v>0.53356400000000004</v>
      </c>
      <c r="G10" s="13">
        <f>SUM('0822 (입고)'!$N$44)</f>
        <v>1651.2519633975139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 t="s">
        <v>82</v>
      </c>
      <c r="D16" s="37">
        <v>8000</v>
      </c>
      <c r="E16" s="37"/>
      <c r="F16" s="77">
        <f t="shared" ref="F16:F22" si="0">IF(D16="","",(SUM($G$9)))</f>
        <v>1336.0093545685038</v>
      </c>
      <c r="G16" s="78">
        <f t="shared" ref="G16:G22" si="1">IF(D16="","",(SUM(E16)-F16))</f>
        <v>-1336.0093545685038</v>
      </c>
      <c r="H16" s="79">
        <f t="shared" ref="H16:H22" si="2">IF(D16="","",(D16*G16))</f>
        <v>-10688074.83654803</v>
      </c>
      <c r="I16" s="17"/>
      <c r="J16" s="159" t="s">
        <v>22</v>
      </c>
      <c r="K16" s="133" t="s">
        <v>69</v>
      </c>
      <c r="L16" s="16">
        <v>32000</v>
      </c>
      <c r="M16" s="37"/>
      <c r="N16" s="94">
        <f t="shared" ref="N16:N22" si="3">IF(L16="","",($G$10))</f>
        <v>1651.2519633975139</v>
      </c>
      <c r="O16" s="95">
        <f t="shared" ref="O16:O22" si="4">IF(L16="","",(SUM(M16)-N16))</f>
        <v>-1651.2519633975139</v>
      </c>
      <c r="P16" s="96">
        <f t="shared" ref="P16:P22" si="5">IF(L16="","",(L16*O16))</f>
        <v>-52840062.828720443</v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33" t="s">
        <v>82</v>
      </c>
      <c r="L17" s="16">
        <v>23777</v>
      </c>
      <c r="M17" s="16"/>
      <c r="N17" s="97">
        <f t="shared" si="3"/>
        <v>1651.2519633975139</v>
      </c>
      <c r="O17" s="98">
        <f t="shared" si="4"/>
        <v>-1651.2519633975139</v>
      </c>
      <c r="P17" s="99">
        <f t="shared" si="5"/>
        <v>-39261817.933702685</v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34" t="s">
        <v>67</v>
      </c>
      <c r="L18" s="37">
        <v>28000</v>
      </c>
      <c r="M18" s="16"/>
      <c r="N18" s="97">
        <f t="shared" si="3"/>
        <v>1651.2519633975139</v>
      </c>
      <c r="O18" s="98">
        <f t="shared" si="4"/>
        <v>-1651.2519633975139</v>
      </c>
      <c r="P18" s="99">
        <f t="shared" si="5"/>
        <v>-46235054.975130387</v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36"/>
      <c r="L19" s="37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8000</v>
      </c>
      <c r="E23" s="75"/>
      <c r="F23" s="75"/>
      <c r="G23" s="75"/>
      <c r="H23" s="76">
        <f>SUM(H16:H22)</f>
        <v>-10688074.83654803</v>
      </c>
      <c r="I23" s="106"/>
      <c r="J23" s="89" t="s">
        <v>24</v>
      </c>
      <c r="K23" s="90"/>
      <c r="L23" s="91">
        <f>SUM(L16:L22)</f>
        <v>83777</v>
      </c>
      <c r="M23" s="92"/>
      <c r="N23" s="92"/>
      <c r="O23" s="92"/>
      <c r="P23" s="93">
        <f>SUM(P16:P22)</f>
        <v>-138336935.73755351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7342</v>
      </c>
      <c r="D29" s="177"/>
      <c r="E29" s="178">
        <f>$G$9</f>
        <v>1336.0093545685038</v>
      </c>
      <c r="F29" s="178"/>
      <c r="G29" s="177">
        <f>C29*E29</f>
        <v>9808980.6812419556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183005</v>
      </c>
      <c r="D30" s="174"/>
      <c r="E30" s="185">
        <f>$G$10</f>
        <v>1651.2519633975139</v>
      </c>
      <c r="F30" s="185"/>
      <c r="G30" s="174">
        <f>C30*E30</f>
        <v>302187365.56156206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7342</v>
      </c>
      <c r="D36" s="177"/>
      <c r="E36" s="177">
        <f>$G$29+$O$29</f>
        <v>9808980.6812419556</v>
      </c>
      <c r="F36" s="177"/>
      <c r="G36" s="178">
        <f>E36/C36</f>
        <v>1336.0093545685038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183005</v>
      </c>
      <c r="D37" s="174"/>
      <c r="E37" s="174">
        <f>$G$30+$O$30</f>
        <v>302187365.56156206</v>
      </c>
      <c r="F37" s="174"/>
      <c r="G37" s="185">
        <f>E37/C37</f>
        <v>1651.2519633975141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15342</v>
      </c>
      <c r="D43" s="228"/>
      <c r="E43" s="62"/>
      <c r="F43" s="229">
        <f>$K$29</f>
        <v>0</v>
      </c>
      <c r="G43" s="230"/>
      <c r="H43" s="230">
        <f>$D$23</f>
        <v>8000</v>
      </c>
      <c r="I43" s="230"/>
      <c r="J43" s="230"/>
      <c r="K43" s="231">
        <f>$C$43-$H$43+$F$43+$O$43</f>
        <v>7342</v>
      </c>
      <c r="L43" s="231"/>
      <c r="M43" s="63">
        <f>SUM($K$43)/$D$9</f>
        <v>3.671E-2</v>
      </c>
      <c r="N43" s="64">
        <f>$G$36</f>
        <v>1336.0093545685038</v>
      </c>
      <c r="O43" s="103"/>
      <c r="P43" s="23"/>
      <c r="Q43" s="125"/>
    </row>
    <row r="44" spans="2:25" ht="24.75" customHeight="1">
      <c r="B44" s="65" t="s">
        <v>41</v>
      </c>
      <c r="C44" s="232">
        <f>SUM($E$10)</f>
        <v>266782</v>
      </c>
      <c r="D44" s="233"/>
      <c r="E44" s="66"/>
      <c r="F44" s="234">
        <f>$K$30</f>
        <v>0</v>
      </c>
      <c r="G44" s="235"/>
      <c r="H44" s="235">
        <f>$L$23</f>
        <v>83777</v>
      </c>
      <c r="I44" s="235"/>
      <c r="J44" s="235"/>
      <c r="K44" s="236">
        <f>$C$44-$H$44+$F$44+$O$44</f>
        <v>183005</v>
      </c>
      <c r="L44" s="236"/>
      <c r="M44" s="67">
        <f>SUM($K$44)/D10</f>
        <v>0.36601</v>
      </c>
      <c r="N44" s="68">
        <f>$G$37</f>
        <v>1651.2519633975141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sheetPr>
    <tabColor rgb="FFFFFF00"/>
    <pageSetUpPr fitToPage="1"/>
  </sheetPr>
  <dimension ref="B1:Y124"/>
  <sheetViews>
    <sheetView showGridLines="0" topLeftCell="A24" zoomScaleNormal="100" workbookViewId="0">
      <selection activeCell="M30" sqref="M30:N30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SUM('0822'!$K$43:$L$43)</f>
        <v>7342</v>
      </c>
      <c r="F9" s="42">
        <f>SUM(E9)/D9</f>
        <v>3.671E-2</v>
      </c>
      <c r="G9" s="10">
        <f>SUM('0822'!$N$43)</f>
        <v>1336.0093545685038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SUM('0822'!$K$44:$L$44)</f>
        <v>183005</v>
      </c>
      <c r="F10" s="44">
        <f>SUM(E10)/D10</f>
        <v>0.36601</v>
      </c>
      <c r="G10" s="13">
        <f>SUM('0822'!$N$44)</f>
        <v>1651.2519633975141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133"/>
      <c r="L16" s="16"/>
      <c r="M16" s="37"/>
      <c r="N16" s="94" t="str">
        <f t="shared" ref="N16:N22" si="3">IF(L16="","",($G$10))</f>
        <v/>
      </c>
      <c r="O16" s="95" t="str">
        <f t="shared" ref="O16:O22" si="4">IF(L16="","",(SUM(M16)-N16))</f>
        <v/>
      </c>
      <c r="P16" s="96" t="str">
        <f t="shared" ref="P16:P22" si="5">IF(L16="","",(L16*O16))</f>
        <v/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33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34"/>
      <c r="L18" s="37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36"/>
      <c r="L19" s="37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0</v>
      </c>
      <c r="M23" s="92"/>
      <c r="N23" s="92"/>
      <c r="O23" s="92"/>
      <c r="P23" s="93">
        <f>SUM(P16:P22)</f>
        <v>0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7342</v>
      </c>
      <c r="D29" s="177"/>
      <c r="E29" s="178">
        <f>$G$9</f>
        <v>1336.0093545685038</v>
      </c>
      <c r="F29" s="178"/>
      <c r="G29" s="177">
        <f>C29*E29</f>
        <v>9808980.6812419556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183005</v>
      </c>
      <c r="D30" s="174"/>
      <c r="E30" s="185">
        <f>$G$10</f>
        <v>1651.2519633975141</v>
      </c>
      <c r="F30" s="185"/>
      <c r="G30" s="174">
        <f>C30*E30</f>
        <v>302187365.56156206</v>
      </c>
      <c r="H30" s="175"/>
      <c r="I30" s="17"/>
      <c r="J30" s="50" t="s">
        <v>11</v>
      </c>
      <c r="K30" s="186">
        <v>27745</v>
      </c>
      <c r="L30" s="187"/>
      <c r="M30" s="188">
        <v>1546.38161368022</v>
      </c>
      <c r="N30" s="189"/>
      <c r="O30" s="174">
        <f>K30*M30</f>
        <v>42904357.871557705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7342</v>
      </c>
      <c r="D36" s="177"/>
      <c r="E36" s="177">
        <f>$G$29+$O$29</f>
        <v>9808980.6812419556</v>
      </c>
      <c r="F36" s="177"/>
      <c r="G36" s="178">
        <f>E36/C36</f>
        <v>1336.0093545685038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210750</v>
      </c>
      <c r="D37" s="174"/>
      <c r="E37" s="174">
        <f>$G$30+$O$30</f>
        <v>345091723.43311977</v>
      </c>
      <c r="F37" s="174"/>
      <c r="G37" s="185">
        <f>E37/C37</f>
        <v>1637.445900038528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7342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7342</v>
      </c>
      <c r="L43" s="231"/>
      <c r="M43" s="63">
        <f>SUM($K$43)/$D$9</f>
        <v>3.671E-2</v>
      </c>
      <c r="N43" s="64">
        <f>$G$36</f>
        <v>1336.0093545685038</v>
      </c>
      <c r="O43" s="103"/>
      <c r="P43" s="23"/>
      <c r="Q43" s="125"/>
    </row>
    <row r="44" spans="2:25" ht="24.75" customHeight="1">
      <c r="B44" s="65" t="s">
        <v>41</v>
      </c>
      <c r="C44" s="232">
        <f>SUM($E$10)</f>
        <v>183005</v>
      </c>
      <c r="D44" s="233"/>
      <c r="E44" s="66"/>
      <c r="F44" s="234">
        <f>$K$30</f>
        <v>27745</v>
      </c>
      <c r="G44" s="235"/>
      <c r="H44" s="235">
        <f>$L$23</f>
        <v>0</v>
      </c>
      <c r="I44" s="235"/>
      <c r="J44" s="235"/>
      <c r="K44" s="236">
        <f>$C$44-$H$44+$F$44+$O$44</f>
        <v>210750</v>
      </c>
      <c r="L44" s="236"/>
      <c r="M44" s="67">
        <f>SUM($K$44)/D10</f>
        <v>0.42149999999999999</v>
      </c>
      <c r="N44" s="68">
        <f>$G$37</f>
        <v>1637.445900038528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5:C46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sheetPr>
    <pageSetUpPr fitToPage="1"/>
  </sheetPr>
  <dimension ref="B1:Y124"/>
  <sheetViews>
    <sheetView showGridLines="0" topLeftCell="A7" zoomScaleNormal="100" workbookViewId="0">
      <selection activeCell="P31" sqref="P31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SUM('0825 (입고)'!$K$43:$L$43)</f>
        <v>7342</v>
      </c>
      <c r="F9" s="42">
        <f>SUM(E9)/D9</f>
        <v>3.671E-2</v>
      </c>
      <c r="G9" s="10">
        <f>SUM('0825 (입고)'!$N$43)</f>
        <v>1336.0093545685038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SUM('0825 (입고)'!$K$44:$L$44)</f>
        <v>210750</v>
      </c>
      <c r="F10" s="44">
        <f>SUM(E10)/D10</f>
        <v>0.42149999999999999</v>
      </c>
      <c r="G10" s="13">
        <f>SUM('0825 (입고)'!$N$44)</f>
        <v>1637.445900038528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133" t="s">
        <v>82</v>
      </c>
      <c r="L16" s="16">
        <v>27745</v>
      </c>
      <c r="M16" s="37"/>
      <c r="N16" s="94">
        <f t="shared" ref="N16:N22" si="3">IF(L16="","",($G$10))</f>
        <v>1637.445900038528</v>
      </c>
      <c r="O16" s="95">
        <f t="shared" ref="O16:O22" si="4">IF(L16="","",(SUM(M16)-N16))</f>
        <v>-1637.445900038528</v>
      </c>
      <c r="P16" s="96">
        <f t="shared" ref="P16:P22" si="5">IF(L16="","",(L16*O16))</f>
        <v>-45430936.496568955</v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33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34"/>
      <c r="L18" s="37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36"/>
      <c r="L19" s="37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27745</v>
      </c>
      <c r="M23" s="92"/>
      <c r="N23" s="92"/>
      <c r="O23" s="92"/>
      <c r="P23" s="93">
        <f>SUM(P16:P22)</f>
        <v>-45430936.496568955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7342</v>
      </c>
      <c r="D29" s="177"/>
      <c r="E29" s="178">
        <f>$G$9</f>
        <v>1336.0093545685038</v>
      </c>
      <c r="F29" s="178"/>
      <c r="G29" s="177">
        <f>C29*E29</f>
        <v>9808980.6812419556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183005</v>
      </c>
      <c r="D30" s="174"/>
      <c r="E30" s="185">
        <f>$G$10</f>
        <v>1637.445900038528</v>
      </c>
      <c r="F30" s="185"/>
      <c r="G30" s="174">
        <f>C30*E30</f>
        <v>299660786.9365508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7342</v>
      </c>
      <c r="D36" s="177"/>
      <c r="E36" s="177">
        <f>$G$29+$O$29</f>
        <v>9808980.6812419556</v>
      </c>
      <c r="F36" s="177"/>
      <c r="G36" s="178">
        <f>E36/C36</f>
        <v>1336.0093545685038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183005</v>
      </c>
      <c r="D37" s="174"/>
      <c r="E37" s="174">
        <f>$G$30+$O$30</f>
        <v>299660786.9365508</v>
      </c>
      <c r="F37" s="174"/>
      <c r="G37" s="185">
        <f>E37/C37</f>
        <v>1637.445900038528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7342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7342</v>
      </c>
      <c r="L43" s="231"/>
      <c r="M43" s="63">
        <f>SUM($K$43)/$D$9</f>
        <v>3.671E-2</v>
      </c>
      <c r="N43" s="64">
        <f>$G$36</f>
        <v>1336.0093545685038</v>
      </c>
      <c r="O43" s="103"/>
      <c r="P43" s="23"/>
      <c r="Q43" s="125"/>
    </row>
    <row r="44" spans="2:25" ht="24.75" customHeight="1">
      <c r="B44" s="65" t="s">
        <v>41</v>
      </c>
      <c r="C44" s="232">
        <f>SUM($E$10)</f>
        <v>210750</v>
      </c>
      <c r="D44" s="233"/>
      <c r="E44" s="66"/>
      <c r="F44" s="234">
        <f>$K$30</f>
        <v>0</v>
      </c>
      <c r="G44" s="235"/>
      <c r="H44" s="235">
        <f>$L$23</f>
        <v>27745</v>
      </c>
      <c r="I44" s="235"/>
      <c r="J44" s="235"/>
      <c r="K44" s="236">
        <f>$C$44-$H$44+$F$44+$O$44</f>
        <v>183005</v>
      </c>
      <c r="L44" s="236"/>
      <c r="M44" s="67">
        <f>SUM($K$44)/D10</f>
        <v>0.36601</v>
      </c>
      <c r="N44" s="68">
        <f>$G$37</f>
        <v>1637.445900038528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B1:P1"/>
    <mergeCell ref="B3:O3"/>
    <mergeCell ref="B5:C5"/>
    <mergeCell ref="H5:L5"/>
    <mergeCell ref="B7:B10"/>
    <mergeCell ref="H7:H10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C40:E40"/>
    <mergeCell ref="F40:M40"/>
    <mergeCell ref="N40:N41"/>
    <mergeCell ref="O40:O41"/>
    <mergeCell ref="C41:D41"/>
    <mergeCell ref="F41:G41"/>
    <mergeCell ref="H41:J41"/>
    <mergeCell ref="K41:L41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2:D42"/>
    <mergeCell ref="F42:G42"/>
    <mergeCell ref="H42:J42"/>
    <mergeCell ref="K42:L42"/>
    <mergeCell ref="C45:C46"/>
    <mergeCell ref="D45:F45"/>
    <mergeCell ref="G45:O45"/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sheetPr>
    <tabColor rgb="FFFFFF00"/>
    <pageSetUpPr fitToPage="1"/>
  </sheetPr>
  <dimension ref="B1:Y124"/>
  <sheetViews>
    <sheetView showGridLines="0" topLeftCell="A15" zoomScaleNormal="100" workbookViewId="0">
      <selection activeCell="M30" sqref="M30:N30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SUM('0825'!$K$43:$L$43)</f>
        <v>7342</v>
      </c>
      <c r="F9" s="42">
        <f>SUM(E9)/D9</f>
        <v>3.671E-2</v>
      </c>
      <c r="G9" s="10">
        <f>SUM('0825'!$N$43)</f>
        <v>1336.0093545685038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SUM('0825'!$K$44:$L$44)</f>
        <v>183005</v>
      </c>
      <c r="F10" s="44">
        <f>SUM(E10)/D10</f>
        <v>0.36601</v>
      </c>
      <c r="G10" s="13">
        <f>SUM('0825'!$N$44)</f>
        <v>1637.445900038528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133"/>
      <c r="L16" s="16"/>
      <c r="M16" s="37"/>
      <c r="N16" s="94" t="str">
        <f t="shared" ref="N16:N22" si="3">IF(L16="","",($G$10))</f>
        <v/>
      </c>
      <c r="O16" s="95" t="str">
        <f t="shared" ref="O16:O22" si="4">IF(L16="","",(SUM(M16)-N16))</f>
        <v/>
      </c>
      <c r="P16" s="96" t="str">
        <f t="shared" ref="P16:P22" si="5">IF(L16="","",(L16*O16))</f>
        <v/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33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34"/>
      <c r="L18" s="37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36"/>
      <c r="L19" s="37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0</v>
      </c>
      <c r="M23" s="92"/>
      <c r="N23" s="92"/>
      <c r="O23" s="92"/>
      <c r="P23" s="93">
        <f>SUM(P16:P22)</f>
        <v>0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7342</v>
      </c>
      <c r="D29" s="177"/>
      <c r="E29" s="178">
        <f>$G$9</f>
        <v>1336.0093545685038</v>
      </c>
      <c r="F29" s="178"/>
      <c r="G29" s="177">
        <f>C29*E29</f>
        <v>9808980.6812419556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183005</v>
      </c>
      <c r="D30" s="174"/>
      <c r="E30" s="185">
        <f>$G$10</f>
        <v>1637.445900038528</v>
      </c>
      <c r="F30" s="185"/>
      <c r="G30" s="174">
        <f>C30*E30</f>
        <v>299660786.9365508</v>
      </c>
      <c r="H30" s="175"/>
      <c r="I30" s="17"/>
      <c r="J30" s="50" t="s">
        <v>11</v>
      </c>
      <c r="K30" s="186">
        <v>61244</v>
      </c>
      <c r="L30" s="187"/>
      <c r="M30" s="188">
        <v>1546.38161368022</v>
      </c>
      <c r="N30" s="189"/>
      <c r="O30" s="174">
        <f>K30*M30</f>
        <v>94706595.548231393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7342</v>
      </c>
      <c r="D36" s="177"/>
      <c r="E36" s="177">
        <f>$G$29+$O$29</f>
        <v>9808980.6812419556</v>
      </c>
      <c r="F36" s="177"/>
      <c r="G36" s="178">
        <f>E36/C36</f>
        <v>1336.0093545685038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244249</v>
      </c>
      <c r="D37" s="174"/>
      <c r="E37" s="174">
        <f>$G$30+$O$30</f>
        <v>394367382.48478222</v>
      </c>
      <c r="F37" s="174"/>
      <c r="G37" s="185">
        <f>E37/C37</f>
        <v>1614.6120659031653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7342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7342</v>
      </c>
      <c r="L43" s="231"/>
      <c r="M43" s="63">
        <f>SUM($K$43)/$D$9</f>
        <v>3.671E-2</v>
      </c>
      <c r="N43" s="64">
        <f>$G$36</f>
        <v>1336.0093545685038</v>
      </c>
      <c r="O43" s="103"/>
      <c r="P43" s="23"/>
      <c r="Q43" s="125"/>
    </row>
    <row r="44" spans="2:25" ht="24.75" customHeight="1">
      <c r="B44" s="65" t="s">
        <v>41</v>
      </c>
      <c r="C44" s="232">
        <f>SUM($E$10)</f>
        <v>183005</v>
      </c>
      <c r="D44" s="233"/>
      <c r="E44" s="66"/>
      <c r="F44" s="234">
        <f>$K$30</f>
        <v>61244</v>
      </c>
      <c r="G44" s="235"/>
      <c r="H44" s="235">
        <f>$L$23</f>
        <v>0</v>
      </c>
      <c r="I44" s="235"/>
      <c r="J44" s="235"/>
      <c r="K44" s="236">
        <f>$C$44-$H$44+$F$44+$O$44</f>
        <v>244249</v>
      </c>
      <c r="L44" s="236"/>
      <c r="M44" s="67">
        <f>SUM($K$44)/D10</f>
        <v>0.48849799999999999</v>
      </c>
      <c r="N44" s="68">
        <f>$G$37</f>
        <v>1614.6120659031653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sheetPr>
    <pageSetUpPr fitToPage="1"/>
  </sheetPr>
  <dimension ref="B1:Y124"/>
  <sheetViews>
    <sheetView showGridLines="0" topLeftCell="A7" zoomScaleNormal="100" workbookViewId="0">
      <selection activeCell="R46" sqref="R46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SUM('0829 (입고)'!$K$43:$L$43)</f>
        <v>7342</v>
      </c>
      <c r="F9" s="42">
        <f>SUM(E9)/D9</f>
        <v>3.671E-2</v>
      </c>
      <c r="G9" s="10">
        <f>SUM('0829 (입고)'!$N$43)</f>
        <v>1336.0093545685038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SUM('0829 (입고)'!$K$44:$L$44)</f>
        <v>244249</v>
      </c>
      <c r="F10" s="44">
        <f>SUM(E10)/D10</f>
        <v>0.48849799999999999</v>
      </c>
      <c r="G10" s="13">
        <f>SUM('0829 (입고)'!$N$44)</f>
        <v>1614.6120659031653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133" t="s">
        <v>68</v>
      </c>
      <c r="L16" s="16">
        <v>31610</v>
      </c>
      <c r="M16" s="37"/>
      <c r="N16" s="94">
        <f t="shared" ref="N16:N22" si="3">IF(L16="","",($G$10))</f>
        <v>1614.6120659031653</v>
      </c>
      <c r="O16" s="95">
        <f t="shared" ref="O16:O22" si="4">IF(L16="","",(SUM(M16)-N16))</f>
        <v>-1614.6120659031653</v>
      </c>
      <c r="P16" s="96">
        <f t="shared" ref="P16:P22" si="5">IF(L16="","",(L16*O16))</f>
        <v>-51037887.403199054</v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33" t="s">
        <v>82</v>
      </c>
      <c r="L17" s="16">
        <v>29634</v>
      </c>
      <c r="M17" s="16"/>
      <c r="N17" s="97">
        <f t="shared" si="3"/>
        <v>1614.6120659031653</v>
      </c>
      <c r="O17" s="98">
        <f t="shared" si="4"/>
        <v>-1614.6120659031653</v>
      </c>
      <c r="P17" s="99">
        <f t="shared" si="5"/>
        <v>-47847413.960974403</v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34"/>
      <c r="L18" s="37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36"/>
      <c r="L19" s="37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61244</v>
      </c>
      <c r="M23" s="92"/>
      <c r="N23" s="92"/>
      <c r="O23" s="92"/>
      <c r="P23" s="93">
        <f>SUM(P16:P22)</f>
        <v>-98885301.364173457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7342</v>
      </c>
      <c r="D29" s="177"/>
      <c r="E29" s="178">
        <f>$G$9</f>
        <v>1336.0093545685038</v>
      </c>
      <c r="F29" s="178"/>
      <c r="G29" s="177">
        <f>C29*E29</f>
        <v>9808980.6812419556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183005</v>
      </c>
      <c r="D30" s="174"/>
      <c r="E30" s="185">
        <f>$G$10</f>
        <v>1614.6120659031653</v>
      </c>
      <c r="F30" s="185"/>
      <c r="G30" s="174">
        <f>C30*E30</f>
        <v>295482081.12060875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7342</v>
      </c>
      <c r="D36" s="177"/>
      <c r="E36" s="177">
        <f>$G$29+$O$29</f>
        <v>9808980.6812419556</v>
      </c>
      <c r="F36" s="177"/>
      <c r="G36" s="178">
        <f>E36/C36</f>
        <v>1336.0093545685038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183005</v>
      </c>
      <c r="D37" s="174"/>
      <c r="E37" s="174">
        <f>$G$30+$O$30</f>
        <v>295482081.12060875</v>
      </c>
      <c r="F37" s="174"/>
      <c r="G37" s="185">
        <f>E37/C37</f>
        <v>1614.6120659031651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7342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7342</v>
      </c>
      <c r="L43" s="231"/>
      <c r="M43" s="63">
        <f>SUM($K$43)/$D$9</f>
        <v>3.671E-2</v>
      </c>
      <c r="N43" s="64">
        <f>$G$36</f>
        <v>1336.0093545685038</v>
      </c>
      <c r="O43" s="103"/>
      <c r="P43" s="23"/>
      <c r="Q43" s="125"/>
    </row>
    <row r="44" spans="2:25" ht="24.75" customHeight="1">
      <c r="B44" s="65" t="s">
        <v>41</v>
      </c>
      <c r="C44" s="232">
        <f>SUM($E$10)</f>
        <v>244249</v>
      </c>
      <c r="D44" s="233"/>
      <c r="E44" s="66"/>
      <c r="F44" s="234">
        <f>$K$30</f>
        <v>0</v>
      </c>
      <c r="G44" s="235"/>
      <c r="H44" s="235">
        <f>$L$23</f>
        <v>61244</v>
      </c>
      <c r="I44" s="235"/>
      <c r="J44" s="235"/>
      <c r="K44" s="236">
        <f>$C$44-$H$44+$F$44+$O$44</f>
        <v>183005</v>
      </c>
      <c r="L44" s="236"/>
      <c r="M44" s="67">
        <f>SUM($K$44)/D10</f>
        <v>0.36601</v>
      </c>
      <c r="N44" s="68">
        <f>$G$37</f>
        <v>1614.6120659031651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sheetPr>
    <tabColor rgb="FFFFFF00"/>
    <pageSetUpPr fitToPage="1"/>
  </sheetPr>
  <dimension ref="B1:Y124"/>
  <sheetViews>
    <sheetView showGridLines="0" topLeftCell="A24" zoomScaleNormal="100" workbookViewId="0">
      <selection activeCell="S44" sqref="S44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SUM('0829'!$K$43:$L$43)</f>
        <v>7342</v>
      </c>
      <c r="F9" s="42">
        <f>SUM(E9)/D9</f>
        <v>3.671E-2</v>
      </c>
      <c r="G9" s="10">
        <f>SUM('0829'!$N$43)</f>
        <v>1336.0093545685038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SUM('0829'!$K$44:$L$44)</f>
        <v>183005</v>
      </c>
      <c r="F10" s="44">
        <f>SUM(E10)/D10</f>
        <v>0.36601</v>
      </c>
      <c r="G10" s="13">
        <f>SUM('0829'!$N$44)</f>
        <v>1614.6120659031651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133"/>
      <c r="L16" s="16"/>
      <c r="M16" s="37"/>
      <c r="N16" s="94" t="str">
        <f t="shared" ref="N16:N22" si="3">IF(L16="","",($G$10))</f>
        <v/>
      </c>
      <c r="O16" s="95" t="str">
        <f t="shared" ref="O16:O22" si="4">IF(L16="","",(SUM(M16)-N16))</f>
        <v/>
      </c>
      <c r="P16" s="96" t="str">
        <f t="shared" ref="P16:P22" si="5">IF(L16="","",(L16*O16))</f>
        <v/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33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34"/>
      <c r="L18" s="37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36"/>
      <c r="L19" s="37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0</v>
      </c>
      <c r="M23" s="92"/>
      <c r="N23" s="92"/>
      <c r="O23" s="92"/>
      <c r="P23" s="93">
        <f>SUM(P16:P22)</f>
        <v>0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7342</v>
      </c>
      <c r="D29" s="177"/>
      <c r="E29" s="178">
        <f>$G$9</f>
        <v>1336.0093545685038</v>
      </c>
      <c r="F29" s="178"/>
      <c r="G29" s="177">
        <f>C29*E29</f>
        <v>9808980.6812419556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183005</v>
      </c>
      <c r="D30" s="174"/>
      <c r="E30" s="185">
        <f>$G$10</f>
        <v>1614.6120659031651</v>
      </c>
      <c r="F30" s="185"/>
      <c r="G30" s="174">
        <f>C30*E30</f>
        <v>295482081.12060875</v>
      </c>
      <c r="H30" s="175"/>
      <c r="I30" s="17"/>
      <c r="J30" s="50" t="s">
        <v>11</v>
      </c>
      <c r="K30" s="186">
        <v>29667</v>
      </c>
      <c r="L30" s="187"/>
      <c r="M30" s="188">
        <v>1546.38161368022</v>
      </c>
      <c r="N30" s="189"/>
      <c r="O30" s="174">
        <f>K30*M30</f>
        <v>45876503.333051085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7342</v>
      </c>
      <c r="D36" s="177"/>
      <c r="E36" s="177">
        <f>$G$29+$O$29</f>
        <v>9808980.6812419556</v>
      </c>
      <c r="F36" s="177"/>
      <c r="G36" s="178">
        <f>E36/C36</f>
        <v>1336.0093545685038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212672</v>
      </c>
      <c r="D37" s="174"/>
      <c r="E37" s="174">
        <f>$G$30+$O$30</f>
        <v>341358584.45365983</v>
      </c>
      <c r="F37" s="174"/>
      <c r="G37" s="185">
        <f>E37/C37</f>
        <v>1605.0941565117168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7342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7342</v>
      </c>
      <c r="L43" s="231"/>
      <c r="M43" s="63">
        <f>SUM($K$43)/$D$9</f>
        <v>3.671E-2</v>
      </c>
      <c r="N43" s="64">
        <f>$G$36</f>
        <v>1336.0093545685038</v>
      </c>
      <c r="O43" s="103"/>
      <c r="P43" s="23"/>
      <c r="Q43" s="125"/>
    </row>
    <row r="44" spans="2:25" ht="24.75" customHeight="1">
      <c r="B44" s="65" t="s">
        <v>41</v>
      </c>
      <c r="C44" s="232">
        <f>SUM($E$10)</f>
        <v>183005</v>
      </c>
      <c r="D44" s="233"/>
      <c r="E44" s="66"/>
      <c r="F44" s="234">
        <f>$K$30</f>
        <v>29667</v>
      </c>
      <c r="G44" s="235"/>
      <c r="H44" s="235">
        <f>$L$23</f>
        <v>0</v>
      </c>
      <c r="I44" s="235"/>
      <c r="J44" s="235"/>
      <c r="K44" s="236">
        <f>$C$44-$H$44+$F$44+$O$44</f>
        <v>212672</v>
      </c>
      <c r="L44" s="236"/>
      <c r="M44" s="67">
        <f>SUM($K$44)/D10</f>
        <v>0.425344</v>
      </c>
      <c r="N44" s="68">
        <f>$G$37</f>
        <v>1605.0941565117168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sheetPr>
    <pageSetUpPr fitToPage="1"/>
  </sheetPr>
  <dimension ref="B1:Y124"/>
  <sheetViews>
    <sheetView showGridLines="0" topLeftCell="A30" zoomScaleNormal="100" workbookViewId="0">
      <selection activeCell="T49" sqref="T49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SUM('0831 (입고)'!$K$43:$L$43)</f>
        <v>7342</v>
      </c>
      <c r="F9" s="42">
        <f>SUM(E9)/D9</f>
        <v>3.671E-2</v>
      </c>
      <c r="G9" s="10">
        <f>SUM('0831 (입고)'!$N$43)</f>
        <v>1336.0093545685038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SUM('0831 (입고)'!$K$44:$L$44)</f>
        <v>212672</v>
      </c>
      <c r="F10" s="44">
        <f>SUM(E10)/D10</f>
        <v>0.425344</v>
      </c>
      <c r="G10" s="13">
        <f>SUM('0831 (입고)'!$N$44)</f>
        <v>1605.0941565117168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133" t="s">
        <v>82</v>
      </c>
      <c r="L16" s="16">
        <v>29667</v>
      </c>
      <c r="M16" s="37"/>
      <c r="N16" s="94">
        <f t="shared" ref="N16:N22" si="3">IF(L16="","",($G$10))</f>
        <v>1605.0941565117168</v>
      </c>
      <c r="O16" s="95">
        <f t="shared" ref="O16:O22" si="4">IF(L16="","",(SUM(M16)-N16))</f>
        <v>-1605.0941565117168</v>
      </c>
      <c r="P16" s="96">
        <f t="shared" ref="P16:P22" si="5">IF(L16="","",(L16*O16))</f>
        <v>-47618328.341233104</v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33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34"/>
      <c r="L18" s="37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36"/>
      <c r="L19" s="37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29667</v>
      </c>
      <c r="M23" s="92"/>
      <c r="N23" s="92"/>
      <c r="O23" s="92"/>
      <c r="P23" s="93">
        <f>SUM(P16:P22)</f>
        <v>-47618328.341233104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7342</v>
      </c>
      <c r="D29" s="177"/>
      <c r="E29" s="178">
        <f>$G$9</f>
        <v>1336.0093545685038</v>
      </c>
      <c r="F29" s="178"/>
      <c r="G29" s="177">
        <f>C29*E29</f>
        <v>9808980.6812419556</v>
      </c>
      <c r="H29" s="179"/>
      <c r="I29" s="17"/>
      <c r="J29" s="49" t="s">
        <v>9</v>
      </c>
      <c r="K29" s="180"/>
      <c r="L29" s="181"/>
      <c r="M29" s="182"/>
      <c r="N29" s="183"/>
      <c r="O29" s="177">
        <f>K29*M29</f>
        <v>0</v>
      </c>
      <c r="P29" s="179"/>
      <c r="R29" s="18"/>
    </row>
    <row r="30" spans="2:18" ht="22.5" customHeight="1">
      <c r="B30" s="50" t="s">
        <v>11</v>
      </c>
      <c r="C30" s="184">
        <f>$E$10-$L$23</f>
        <v>183005</v>
      </c>
      <c r="D30" s="174"/>
      <c r="E30" s="185">
        <f>$G$10</f>
        <v>1605.0941565117168</v>
      </c>
      <c r="F30" s="185"/>
      <c r="G30" s="174">
        <f>C30*E30</f>
        <v>293740256.11242676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7342</v>
      </c>
      <c r="D36" s="177"/>
      <c r="E36" s="177">
        <f>$G$29+$O$29</f>
        <v>9808980.6812419556</v>
      </c>
      <c r="F36" s="177"/>
      <c r="G36" s="178">
        <f>E36/C36</f>
        <v>1336.0093545685038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183005</v>
      </c>
      <c r="D37" s="174"/>
      <c r="E37" s="174">
        <f>$G$30+$O$30</f>
        <v>293740256.11242676</v>
      </c>
      <c r="F37" s="174"/>
      <c r="G37" s="185">
        <f>E37/C37</f>
        <v>1605.0941565117168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7342</v>
      </c>
      <c r="D43" s="228"/>
      <c r="E43" s="62"/>
      <c r="F43" s="229">
        <f>$K$29</f>
        <v>0</v>
      </c>
      <c r="G43" s="230"/>
      <c r="H43" s="230">
        <f>$D$23</f>
        <v>0</v>
      </c>
      <c r="I43" s="230"/>
      <c r="J43" s="230"/>
      <c r="K43" s="231">
        <f>$C$43-$H$43+$F$43+$O$43</f>
        <v>7342</v>
      </c>
      <c r="L43" s="231"/>
      <c r="M43" s="63">
        <f>SUM($K$43)/$D$9</f>
        <v>3.671E-2</v>
      </c>
      <c r="N43" s="64">
        <f>$G$36</f>
        <v>1336.0093545685038</v>
      </c>
      <c r="O43" s="103"/>
      <c r="P43" s="23"/>
      <c r="Q43" s="125"/>
    </row>
    <row r="44" spans="2:25" ht="24.75" customHeight="1">
      <c r="B44" s="65" t="s">
        <v>41</v>
      </c>
      <c r="C44" s="232">
        <f>SUM($E$10)</f>
        <v>212672</v>
      </c>
      <c r="D44" s="233"/>
      <c r="E44" s="66"/>
      <c r="F44" s="234">
        <f>$K$30</f>
        <v>0</v>
      </c>
      <c r="G44" s="235"/>
      <c r="H44" s="235">
        <f>$L$23</f>
        <v>29667</v>
      </c>
      <c r="I44" s="235"/>
      <c r="J44" s="235"/>
      <c r="K44" s="236">
        <f>$C$44-$H$44+$F$44+$O$44</f>
        <v>183005</v>
      </c>
      <c r="L44" s="236"/>
      <c r="M44" s="67">
        <f>SUM($K$44)/D10</f>
        <v>0.36601</v>
      </c>
      <c r="N44" s="68">
        <f>$G$37</f>
        <v>1605.0941565117168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 r:id="rId1"/>
  <headerFooter alignWithMargins="0"/>
  <rowBreaks count="1" manualBreakCount="1">
    <brk id="22" min="1" max="18" man="1"/>
  </rowBreaks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sheetPr>
    <tabColor rgb="FFFFFF00"/>
    <pageSetUpPr fitToPage="1"/>
  </sheetPr>
  <dimension ref="B1:Y124"/>
  <sheetViews>
    <sheetView showGridLines="0" tabSelected="1" topLeftCell="A28" zoomScaleNormal="100" workbookViewId="0">
      <selection activeCell="S45" sqref="S45"/>
    </sheetView>
  </sheetViews>
  <sheetFormatPr defaultColWidth="8.88671875" defaultRowHeight="20.25" customHeight="1"/>
  <cols>
    <col min="1" max="1" width="2.6640625" style="2" customWidth="1"/>
    <col min="2" max="2" width="6" style="2" customWidth="1"/>
    <col min="3" max="3" width="9.5546875" style="2" customWidth="1"/>
    <col min="4" max="6" width="7.77734375" style="2" customWidth="1"/>
    <col min="7" max="7" width="8.21875" style="2" customWidth="1"/>
    <col min="8" max="8" width="10.6640625" style="2" bestFit="1" customWidth="1"/>
    <col min="9" max="9" width="2.77734375" style="2" customWidth="1"/>
    <col min="10" max="10" width="6.21875" style="2" customWidth="1"/>
    <col min="11" max="11" width="9.5546875" style="2" customWidth="1"/>
    <col min="12" max="13" width="7.77734375" style="2" customWidth="1"/>
    <col min="14" max="14" width="9.44140625" style="2" customWidth="1"/>
    <col min="15" max="15" width="7.77734375" style="2" customWidth="1"/>
    <col min="16" max="16" width="12.6640625" style="2" customWidth="1"/>
    <col min="17" max="17" width="10.21875" style="2" bestFit="1" customWidth="1"/>
    <col min="18" max="16384" width="8.88671875" style="2"/>
  </cols>
  <sheetData>
    <row r="1" spans="2:16" ht="26.25" customHeight="1">
      <c r="B1" s="135" t="s">
        <v>0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2:16" ht="3.75" customHeight="1" thickBo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25.5" customHeight="1" thickTop="1"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</row>
    <row r="4" spans="2:16" ht="25.5" customHeight="1"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</row>
    <row r="5" spans="2:16" ht="22.5" customHeight="1">
      <c r="B5" s="137" t="s">
        <v>1</v>
      </c>
      <c r="C5" s="137"/>
      <c r="D5" s="4"/>
      <c r="E5" s="4"/>
      <c r="F5" s="4"/>
      <c r="G5" s="5" t="s">
        <v>2</v>
      </c>
      <c r="H5" s="138"/>
      <c r="I5" s="138"/>
      <c r="J5" s="138"/>
      <c r="K5" s="138"/>
      <c r="L5" s="138"/>
      <c r="O5" s="5"/>
    </row>
    <row r="6" spans="2:16" ht="0.75" customHeight="1"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spans="2:16" ht="22.5" customHeight="1">
      <c r="B7" s="139" t="s">
        <v>3</v>
      </c>
      <c r="C7" s="32"/>
      <c r="D7" s="38" t="s">
        <v>4</v>
      </c>
      <c r="E7" s="39" t="s">
        <v>5</v>
      </c>
      <c r="F7" s="39" t="s">
        <v>6</v>
      </c>
      <c r="G7" s="40" t="s">
        <v>7</v>
      </c>
      <c r="H7" s="142"/>
      <c r="I7" s="106"/>
      <c r="J7" s="106"/>
      <c r="K7" s="106"/>
      <c r="L7" s="106"/>
      <c r="M7" s="106"/>
      <c r="N7" s="106"/>
      <c r="O7" s="106"/>
    </row>
    <row r="8" spans="2:16" ht="22.5" customHeight="1">
      <c r="B8" s="140"/>
      <c r="C8" s="33" t="s">
        <v>8</v>
      </c>
      <c r="D8" s="109">
        <v>0</v>
      </c>
      <c r="E8" s="108">
        <v>0</v>
      </c>
      <c r="F8" s="108">
        <v>0</v>
      </c>
      <c r="G8" s="41">
        <v>0</v>
      </c>
      <c r="H8" s="142"/>
      <c r="I8" s="106"/>
      <c r="J8" s="112"/>
      <c r="K8" s="8"/>
      <c r="L8" s="9"/>
      <c r="M8" s="9"/>
      <c r="N8" s="9"/>
      <c r="O8" s="9"/>
    </row>
    <row r="9" spans="2:16" ht="22.5" customHeight="1">
      <c r="B9" s="140"/>
      <c r="C9" s="34" t="s">
        <v>9</v>
      </c>
      <c r="D9" s="111">
        <v>200000</v>
      </c>
      <c r="E9" s="7">
        <f>SUM('0831'!$K$43:$L$43)</f>
        <v>7342</v>
      </c>
      <c r="F9" s="42">
        <f>SUM(E9)/D9</f>
        <v>3.671E-2</v>
      </c>
      <c r="G9" s="10">
        <f>SUM('0831'!$N$43)</f>
        <v>1336.0093545685038</v>
      </c>
      <c r="H9" s="142"/>
      <c r="I9" s="106"/>
      <c r="J9" s="112"/>
      <c r="K9" s="9"/>
      <c r="L9" s="9" t="s">
        <v>10</v>
      </c>
      <c r="M9" s="11"/>
      <c r="N9" s="9"/>
      <c r="O9" s="9"/>
    </row>
    <row r="10" spans="2:16" ht="22.5" customHeight="1">
      <c r="B10" s="141"/>
      <c r="C10" s="35" t="s">
        <v>11</v>
      </c>
      <c r="D10" s="43">
        <v>500000</v>
      </c>
      <c r="E10" s="12">
        <f>SUM('0831'!$K$44:$L$44)</f>
        <v>183005</v>
      </c>
      <c r="F10" s="44">
        <f>SUM(E10)/D10</f>
        <v>0.36601</v>
      </c>
      <c r="G10" s="13">
        <f>SUM('0831'!$N$44)</f>
        <v>1605.0941565117168</v>
      </c>
      <c r="H10" s="142"/>
      <c r="I10" s="106"/>
      <c r="J10" s="112"/>
      <c r="K10" s="9"/>
      <c r="L10" s="9"/>
      <c r="M10" s="11"/>
      <c r="N10" s="9"/>
      <c r="O10" s="9"/>
    </row>
    <row r="11" spans="2:16" ht="22.5" customHeight="1">
      <c r="B11" s="105"/>
      <c r="C11" s="6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2:16" ht="22.5" customHeight="1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2:16" s="4" customFormat="1" ht="26.25" customHeight="1">
      <c r="B13" s="144" t="s">
        <v>12</v>
      </c>
      <c r="C13" s="145"/>
      <c r="D13" s="14"/>
      <c r="E13" s="14"/>
      <c r="F13" s="14"/>
      <c r="G13" s="143" t="s">
        <v>2</v>
      </c>
      <c r="H13" s="143"/>
      <c r="I13" s="14"/>
      <c r="J13" s="146" t="s">
        <v>13</v>
      </c>
      <c r="K13" s="147"/>
      <c r="L13" s="14"/>
      <c r="M13" s="14"/>
      <c r="N13" s="14"/>
      <c r="O13" s="143" t="s">
        <v>2</v>
      </c>
      <c r="P13" s="143"/>
    </row>
    <row r="14" spans="2:16" s="4" customFormat="1" ht="24" customHeight="1">
      <c r="B14" s="148" t="s">
        <v>3</v>
      </c>
      <c r="C14" s="150" t="s">
        <v>14</v>
      </c>
      <c r="D14" s="151"/>
      <c r="E14" s="151"/>
      <c r="F14" s="151"/>
      <c r="G14" s="151"/>
      <c r="H14" s="152"/>
      <c r="I14" s="15"/>
      <c r="J14" s="153" t="s">
        <v>3</v>
      </c>
      <c r="K14" s="155" t="s">
        <v>14</v>
      </c>
      <c r="L14" s="156"/>
      <c r="M14" s="156"/>
      <c r="N14" s="156"/>
      <c r="O14" s="156"/>
      <c r="P14" s="157"/>
    </row>
    <row r="15" spans="2:16" s="4" customFormat="1" ht="24" customHeight="1">
      <c r="B15" s="149"/>
      <c r="C15" s="69" t="s">
        <v>15</v>
      </c>
      <c r="D15" s="70" t="s">
        <v>16</v>
      </c>
      <c r="E15" s="70" t="s">
        <v>17</v>
      </c>
      <c r="F15" s="70" t="s">
        <v>18</v>
      </c>
      <c r="G15" s="70" t="s">
        <v>19</v>
      </c>
      <c r="H15" s="71" t="s">
        <v>20</v>
      </c>
      <c r="I15" s="15"/>
      <c r="J15" s="154"/>
      <c r="K15" s="86" t="s">
        <v>15</v>
      </c>
      <c r="L15" s="87" t="s">
        <v>16</v>
      </c>
      <c r="M15" s="87" t="s">
        <v>17</v>
      </c>
      <c r="N15" s="87" t="s">
        <v>18</v>
      </c>
      <c r="O15" s="87" t="s">
        <v>19</v>
      </c>
      <c r="P15" s="88" t="s">
        <v>20</v>
      </c>
    </row>
    <row r="16" spans="2:16" ht="24" customHeight="1">
      <c r="B16" s="158" t="s">
        <v>21</v>
      </c>
      <c r="C16" s="36"/>
      <c r="D16" s="37"/>
      <c r="E16" s="37"/>
      <c r="F16" s="77" t="str">
        <f t="shared" ref="F16:F22" si="0">IF(D16="","",(SUM($G$9)))</f>
        <v/>
      </c>
      <c r="G16" s="78" t="str">
        <f t="shared" ref="G16:G22" si="1">IF(D16="","",(SUM(E16)-F16))</f>
        <v/>
      </c>
      <c r="H16" s="79" t="str">
        <f t="shared" ref="H16:H22" si="2">IF(D16="","",(D16*G16))</f>
        <v/>
      </c>
      <c r="I16" s="17"/>
      <c r="J16" s="159" t="s">
        <v>22</v>
      </c>
      <c r="K16" s="133"/>
      <c r="L16" s="16"/>
      <c r="M16" s="37"/>
      <c r="N16" s="94" t="str">
        <f t="shared" ref="N16:N22" si="3">IF(L16="","",($G$10))</f>
        <v/>
      </c>
      <c r="O16" s="95" t="str">
        <f t="shared" ref="O16:O22" si="4">IF(L16="","",(SUM(M16)-N16))</f>
        <v/>
      </c>
      <c r="P16" s="96" t="str">
        <f t="shared" ref="P16:P22" si="5">IF(L16="","",(L16*O16))</f>
        <v/>
      </c>
    </row>
    <row r="17" spans="2:18" ht="24" customHeight="1">
      <c r="B17" s="158"/>
      <c r="C17" s="110"/>
      <c r="D17" s="16"/>
      <c r="E17" s="16"/>
      <c r="F17" s="80" t="str">
        <f t="shared" si="0"/>
        <v/>
      </c>
      <c r="G17" s="81" t="str">
        <f t="shared" si="1"/>
        <v/>
      </c>
      <c r="H17" s="82" t="str">
        <f t="shared" si="2"/>
        <v/>
      </c>
      <c r="I17" s="17"/>
      <c r="J17" s="159"/>
      <c r="K17" s="133"/>
      <c r="L17" s="16"/>
      <c r="M17" s="16"/>
      <c r="N17" s="97" t="str">
        <f t="shared" si="3"/>
        <v/>
      </c>
      <c r="O17" s="98" t="str">
        <f t="shared" si="4"/>
        <v/>
      </c>
      <c r="P17" s="99" t="str">
        <f t="shared" si="5"/>
        <v/>
      </c>
    </row>
    <row r="18" spans="2:18" ht="24" customHeight="1">
      <c r="B18" s="158"/>
      <c r="C18" s="110"/>
      <c r="D18" s="16"/>
      <c r="E18" s="16"/>
      <c r="F18" s="80" t="str">
        <f t="shared" si="0"/>
        <v/>
      </c>
      <c r="G18" s="81" t="str">
        <f t="shared" si="1"/>
        <v/>
      </c>
      <c r="H18" s="82" t="str">
        <f t="shared" si="2"/>
        <v/>
      </c>
      <c r="I18" s="17"/>
      <c r="J18" s="159"/>
      <c r="K18" s="134"/>
      <c r="L18" s="37"/>
      <c r="M18" s="16"/>
      <c r="N18" s="97" t="str">
        <f t="shared" si="3"/>
        <v/>
      </c>
      <c r="O18" s="98" t="str">
        <f t="shared" si="4"/>
        <v/>
      </c>
      <c r="P18" s="99" t="str">
        <f t="shared" si="5"/>
        <v/>
      </c>
    </row>
    <row r="19" spans="2:18" ht="24" customHeight="1">
      <c r="B19" s="158"/>
      <c r="C19" s="110"/>
      <c r="D19" s="16"/>
      <c r="E19" s="16"/>
      <c r="F19" s="80" t="str">
        <f t="shared" si="0"/>
        <v/>
      </c>
      <c r="G19" s="81" t="str">
        <f t="shared" si="1"/>
        <v/>
      </c>
      <c r="H19" s="82" t="str">
        <f t="shared" si="2"/>
        <v/>
      </c>
      <c r="I19" s="17"/>
      <c r="J19" s="159"/>
      <c r="K19" s="36"/>
      <c r="L19" s="37"/>
      <c r="M19" s="16"/>
      <c r="N19" s="97" t="str">
        <f t="shared" si="3"/>
        <v/>
      </c>
      <c r="O19" s="98" t="str">
        <f t="shared" si="4"/>
        <v/>
      </c>
      <c r="P19" s="99" t="str">
        <f t="shared" si="5"/>
        <v/>
      </c>
    </row>
    <row r="20" spans="2:18" ht="24" customHeight="1">
      <c r="B20" s="158"/>
      <c r="C20" s="110"/>
      <c r="D20" s="16"/>
      <c r="E20" s="16"/>
      <c r="F20" s="80" t="str">
        <f t="shared" si="0"/>
        <v/>
      </c>
      <c r="G20" s="81" t="str">
        <f t="shared" si="1"/>
        <v/>
      </c>
      <c r="H20" s="82" t="str">
        <f t="shared" si="2"/>
        <v/>
      </c>
      <c r="I20" s="17"/>
      <c r="J20" s="159"/>
      <c r="K20" s="110"/>
      <c r="L20" s="16"/>
      <c r="M20" s="16"/>
      <c r="N20" s="97" t="str">
        <f t="shared" si="3"/>
        <v/>
      </c>
      <c r="O20" s="98" t="str">
        <f t="shared" si="4"/>
        <v/>
      </c>
      <c r="P20" s="99" t="str">
        <f t="shared" si="5"/>
        <v/>
      </c>
    </row>
    <row r="21" spans="2:18" ht="24" customHeight="1">
      <c r="B21" s="158"/>
      <c r="C21" s="110"/>
      <c r="D21" s="16"/>
      <c r="E21" s="16"/>
      <c r="F21" s="80" t="str">
        <f t="shared" si="0"/>
        <v/>
      </c>
      <c r="G21" s="81" t="str">
        <f t="shared" si="1"/>
        <v/>
      </c>
      <c r="H21" s="82" t="str">
        <f t="shared" si="2"/>
        <v/>
      </c>
      <c r="I21" s="17"/>
      <c r="J21" s="159"/>
      <c r="K21" s="110"/>
      <c r="L21" s="16"/>
      <c r="M21" s="16"/>
      <c r="N21" s="97" t="str">
        <f t="shared" si="3"/>
        <v/>
      </c>
      <c r="O21" s="98" t="str">
        <f t="shared" si="4"/>
        <v/>
      </c>
      <c r="P21" s="99" t="str">
        <f t="shared" si="5"/>
        <v/>
      </c>
    </row>
    <row r="22" spans="2:18" ht="24" customHeight="1">
      <c r="B22" s="158"/>
      <c r="C22" s="45"/>
      <c r="D22" s="46"/>
      <c r="E22" s="46"/>
      <c r="F22" s="83" t="str">
        <f t="shared" si="0"/>
        <v/>
      </c>
      <c r="G22" s="84" t="str">
        <f t="shared" si="1"/>
        <v/>
      </c>
      <c r="H22" s="85" t="str">
        <f t="shared" si="2"/>
        <v/>
      </c>
      <c r="I22" s="17"/>
      <c r="J22" s="159"/>
      <c r="K22" s="45"/>
      <c r="L22" s="46"/>
      <c r="M22" s="46"/>
      <c r="N22" s="100" t="str">
        <f t="shared" si="3"/>
        <v/>
      </c>
      <c r="O22" s="101" t="str">
        <f t="shared" si="4"/>
        <v/>
      </c>
      <c r="P22" s="102" t="str">
        <f t="shared" si="5"/>
        <v/>
      </c>
    </row>
    <row r="23" spans="2:18" ht="24" customHeight="1">
      <c r="B23" s="72" t="s">
        <v>24</v>
      </c>
      <c r="C23" s="73"/>
      <c r="D23" s="74">
        <f>SUM(D16:D22)</f>
        <v>0</v>
      </c>
      <c r="E23" s="75"/>
      <c r="F23" s="75"/>
      <c r="G23" s="75"/>
      <c r="H23" s="76">
        <f>SUM(H16:H22)</f>
        <v>0</v>
      </c>
      <c r="I23" s="106"/>
      <c r="J23" s="89" t="s">
        <v>24</v>
      </c>
      <c r="K23" s="90"/>
      <c r="L23" s="91">
        <f>SUM(L16:L22)</f>
        <v>0</v>
      </c>
      <c r="M23" s="92"/>
      <c r="N23" s="92"/>
      <c r="O23" s="92"/>
      <c r="P23" s="93">
        <f>SUM(P16:P22)</f>
        <v>0</v>
      </c>
    </row>
    <row r="24" spans="2:18" ht="24" customHeight="1">
      <c r="B24" s="19"/>
      <c r="C24" s="17"/>
      <c r="D24" s="18"/>
      <c r="E24" s="18"/>
      <c r="F24" s="18"/>
      <c r="G24" s="18"/>
      <c r="H24" s="17"/>
      <c r="I24" s="17"/>
      <c r="J24" s="17"/>
      <c r="K24" s="18"/>
      <c r="L24" s="18"/>
      <c r="M24" s="18"/>
      <c r="N24" s="18"/>
      <c r="O24" s="19"/>
      <c r="P24" s="19"/>
    </row>
    <row r="25" spans="2:18" ht="24" customHeight="1">
      <c r="B25" s="20"/>
      <c r="C25" s="17"/>
      <c r="D25" s="18"/>
      <c r="E25" s="18"/>
      <c r="F25" s="18"/>
      <c r="G25" s="18"/>
      <c r="H25" s="17"/>
      <c r="I25" s="17"/>
      <c r="J25" s="17"/>
      <c r="K25" s="18"/>
      <c r="L25" s="18"/>
      <c r="M25" s="18"/>
      <c r="N25" s="18"/>
      <c r="O25" s="19"/>
      <c r="P25" s="19"/>
    </row>
    <row r="26" spans="2:18" ht="22.5" customHeight="1">
      <c r="B26" s="160" t="s">
        <v>25</v>
      </c>
      <c r="C26" s="161"/>
      <c r="D26" s="14"/>
      <c r="E26" s="14"/>
      <c r="F26" s="14"/>
      <c r="G26" s="143" t="s">
        <v>2</v>
      </c>
      <c r="H26" s="143"/>
      <c r="I26" s="14"/>
      <c r="J26" s="160" t="s">
        <v>26</v>
      </c>
      <c r="K26" s="161"/>
      <c r="L26" s="14"/>
      <c r="M26" s="14"/>
      <c r="N26" s="14"/>
      <c r="O26" s="143" t="s">
        <v>2</v>
      </c>
      <c r="P26" s="143"/>
    </row>
    <row r="27" spans="2:18" ht="22.5" customHeight="1">
      <c r="B27" s="51" t="s">
        <v>3</v>
      </c>
      <c r="C27" s="164" t="s">
        <v>16</v>
      </c>
      <c r="D27" s="165"/>
      <c r="E27" s="165" t="s">
        <v>7</v>
      </c>
      <c r="F27" s="165"/>
      <c r="G27" s="166" t="s">
        <v>27</v>
      </c>
      <c r="H27" s="167"/>
      <c r="I27" s="1"/>
      <c r="J27" s="51" t="s">
        <v>3</v>
      </c>
      <c r="K27" s="164" t="s">
        <v>16</v>
      </c>
      <c r="L27" s="165"/>
      <c r="M27" s="165" t="s">
        <v>28</v>
      </c>
      <c r="N27" s="165"/>
      <c r="O27" s="166" t="s">
        <v>27</v>
      </c>
      <c r="P27" s="167"/>
    </row>
    <row r="28" spans="2:18" ht="22.5" customHeight="1">
      <c r="B28" s="48" t="s">
        <v>8</v>
      </c>
      <c r="C28" s="168">
        <v>0</v>
      </c>
      <c r="D28" s="169"/>
      <c r="E28" s="169">
        <v>0</v>
      </c>
      <c r="F28" s="169"/>
      <c r="G28" s="170">
        <v>0</v>
      </c>
      <c r="H28" s="171"/>
      <c r="I28" s="21"/>
      <c r="J28" s="48" t="s">
        <v>8</v>
      </c>
      <c r="K28" s="172">
        <v>0</v>
      </c>
      <c r="L28" s="173"/>
      <c r="M28" s="173">
        <v>0</v>
      </c>
      <c r="N28" s="173"/>
      <c r="O28" s="162">
        <v>0</v>
      </c>
      <c r="P28" s="163"/>
    </row>
    <row r="29" spans="2:18" ht="22.5" customHeight="1">
      <c r="B29" s="49" t="s">
        <v>9</v>
      </c>
      <c r="C29" s="176">
        <f>$E$9-$D$23</f>
        <v>7342</v>
      </c>
      <c r="D29" s="177"/>
      <c r="E29" s="178">
        <f>$G$9</f>
        <v>1336.0093545685038</v>
      </c>
      <c r="F29" s="178"/>
      <c r="G29" s="177">
        <f>C29*E29</f>
        <v>9808980.6812419556</v>
      </c>
      <c r="H29" s="179"/>
      <c r="I29" s="17"/>
      <c r="J29" s="49" t="s">
        <v>9</v>
      </c>
      <c r="K29" s="180">
        <v>8000</v>
      </c>
      <c r="L29" s="181"/>
      <c r="M29" s="182">
        <v>1380</v>
      </c>
      <c r="N29" s="183"/>
      <c r="O29" s="177">
        <f>K29*M29</f>
        <v>11040000</v>
      </c>
      <c r="P29" s="179"/>
      <c r="R29" s="18"/>
    </row>
    <row r="30" spans="2:18" ht="22.5" customHeight="1">
      <c r="B30" s="50" t="s">
        <v>11</v>
      </c>
      <c r="C30" s="184">
        <f>$E$10-$L$23</f>
        <v>183005</v>
      </c>
      <c r="D30" s="174"/>
      <c r="E30" s="185">
        <f>$G$10</f>
        <v>1605.0941565117168</v>
      </c>
      <c r="F30" s="185"/>
      <c r="G30" s="174">
        <f>C30*E30</f>
        <v>293740256.11242676</v>
      </c>
      <c r="H30" s="175"/>
      <c r="I30" s="17"/>
      <c r="J30" s="50" t="s">
        <v>11</v>
      </c>
      <c r="K30" s="186"/>
      <c r="L30" s="187"/>
      <c r="M30" s="188"/>
      <c r="N30" s="189"/>
      <c r="O30" s="174">
        <f>K30*M30</f>
        <v>0</v>
      </c>
      <c r="P30" s="175"/>
      <c r="R30" s="18"/>
    </row>
    <row r="31" spans="2:18" ht="24" customHeight="1">
      <c r="B31" s="22"/>
      <c r="C31" s="194"/>
      <c r="D31" s="194"/>
      <c r="E31" s="194"/>
      <c r="F31" s="194"/>
      <c r="G31" s="194"/>
      <c r="H31" s="194"/>
      <c r="I31" s="17"/>
      <c r="J31" s="17"/>
      <c r="K31" s="18"/>
      <c r="L31" s="18"/>
      <c r="M31" s="18"/>
      <c r="N31" s="18"/>
      <c r="O31" s="19"/>
      <c r="P31" s="19"/>
    </row>
    <row r="32" spans="2:18" ht="24" customHeight="1">
      <c r="B32" s="19"/>
      <c r="C32" s="195"/>
      <c r="D32" s="195"/>
      <c r="E32" s="195"/>
      <c r="F32" s="195"/>
      <c r="G32" s="195"/>
      <c r="H32" s="195"/>
      <c r="I32" s="17"/>
      <c r="J32" s="17"/>
      <c r="K32" s="18"/>
      <c r="L32" s="18"/>
      <c r="M32" s="18"/>
      <c r="N32" s="18"/>
      <c r="O32" s="116"/>
      <c r="P32" s="19"/>
    </row>
    <row r="33" spans="2:25" ht="24" customHeight="1">
      <c r="B33" s="160" t="s">
        <v>29</v>
      </c>
      <c r="C33" s="161"/>
      <c r="D33" s="14"/>
      <c r="E33" s="14"/>
      <c r="F33" s="14"/>
      <c r="G33" s="196"/>
      <c r="H33" s="196"/>
      <c r="I33" s="17"/>
      <c r="J33" s="17"/>
      <c r="K33" s="18"/>
      <c r="L33" s="18"/>
      <c r="M33" s="18"/>
      <c r="N33" s="18"/>
      <c r="O33" s="19"/>
      <c r="P33" s="19"/>
    </row>
    <row r="34" spans="2:25" ht="24" customHeight="1">
      <c r="B34" s="48" t="s">
        <v>3</v>
      </c>
      <c r="C34" s="197" t="s">
        <v>16</v>
      </c>
      <c r="D34" s="198"/>
      <c r="E34" s="198" t="s">
        <v>30</v>
      </c>
      <c r="F34" s="198"/>
      <c r="G34" s="199" t="s">
        <v>29</v>
      </c>
      <c r="H34" s="200"/>
      <c r="I34" s="17"/>
      <c r="J34" s="17"/>
      <c r="K34" s="18"/>
      <c r="L34" s="18"/>
      <c r="M34" s="18"/>
      <c r="N34" s="18"/>
      <c r="O34" s="19"/>
      <c r="P34" s="19"/>
    </row>
    <row r="35" spans="2:25" ht="24" customHeight="1">
      <c r="B35" s="48" t="s">
        <v>8</v>
      </c>
      <c r="C35" s="190">
        <v>0</v>
      </c>
      <c r="D35" s="191"/>
      <c r="E35" s="191">
        <v>0</v>
      </c>
      <c r="F35" s="191"/>
      <c r="G35" s="192">
        <v>0</v>
      </c>
      <c r="H35" s="193"/>
      <c r="I35" s="17"/>
      <c r="J35" s="17"/>
      <c r="K35" s="18"/>
      <c r="L35" s="18"/>
      <c r="M35" s="18"/>
      <c r="N35" s="18"/>
      <c r="O35" s="19"/>
      <c r="P35" s="19"/>
    </row>
    <row r="36" spans="2:25" ht="24" customHeight="1">
      <c r="B36" s="49" t="s">
        <v>9</v>
      </c>
      <c r="C36" s="176">
        <f>$C$29+$K$29</f>
        <v>15342</v>
      </c>
      <c r="D36" s="177"/>
      <c r="E36" s="177">
        <f>$G$29+$O$29</f>
        <v>20848980.681241956</v>
      </c>
      <c r="F36" s="177"/>
      <c r="G36" s="178">
        <f>E36/C36</f>
        <v>1358.9480303247267</v>
      </c>
      <c r="H36" s="214"/>
      <c r="I36" s="17"/>
      <c r="J36" s="17"/>
      <c r="K36" s="120"/>
      <c r="L36" s="18"/>
      <c r="M36" s="18"/>
      <c r="N36" s="18"/>
      <c r="O36" s="19"/>
      <c r="P36" s="116"/>
      <c r="Q36" s="119"/>
      <c r="R36" s="210"/>
      <c r="S36" s="211"/>
      <c r="T36" s="210"/>
      <c r="U36" s="211"/>
      <c r="V36" s="210"/>
      <c r="W36" s="211"/>
      <c r="X36" s="210"/>
      <c r="Y36" s="211"/>
    </row>
    <row r="37" spans="2:25" ht="24" customHeight="1">
      <c r="B37" s="50" t="s">
        <v>11</v>
      </c>
      <c r="C37" s="184">
        <f>$C$30+$K$30</f>
        <v>183005</v>
      </c>
      <c r="D37" s="174"/>
      <c r="E37" s="174">
        <f>$G$30+$O$30</f>
        <v>293740256.11242676</v>
      </c>
      <c r="F37" s="174"/>
      <c r="G37" s="185">
        <f>E37/C37</f>
        <v>1605.0941565117168</v>
      </c>
      <c r="H37" s="212"/>
      <c r="I37" s="17"/>
      <c r="J37" s="18"/>
      <c r="K37" s="120"/>
      <c r="L37" s="18"/>
      <c r="M37" s="18"/>
      <c r="N37" s="24"/>
      <c r="O37" s="19"/>
      <c r="P37" s="19"/>
      <c r="R37" s="117"/>
      <c r="S37" s="117"/>
      <c r="T37" s="117"/>
      <c r="U37" s="117"/>
      <c r="V37" s="117"/>
      <c r="W37" s="117"/>
      <c r="X37" s="117"/>
      <c r="Y37" s="117"/>
    </row>
    <row r="38" spans="2:25" ht="24" customHeight="1">
      <c r="B38" s="25"/>
      <c r="C38" s="26"/>
      <c r="D38" s="26"/>
      <c r="E38" s="26"/>
      <c r="F38" s="26"/>
      <c r="G38" s="26"/>
      <c r="J38" s="18"/>
      <c r="K38" s="18"/>
      <c r="L38" s="18"/>
      <c r="N38" s="19"/>
      <c r="O38" s="19"/>
      <c r="P38" s="19"/>
      <c r="R38" s="121"/>
      <c r="S38" s="118"/>
      <c r="T38" s="118"/>
      <c r="U38" s="118"/>
      <c r="V38" s="118"/>
      <c r="W38" s="118"/>
      <c r="X38" s="118"/>
      <c r="Y38" s="118"/>
    </row>
    <row r="39" spans="2:25" ht="24" customHeight="1">
      <c r="B39" s="160" t="s">
        <v>31</v>
      </c>
      <c r="C39" s="213"/>
      <c r="D39" s="47"/>
      <c r="N39" s="19"/>
      <c r="O39" s="107" t="s">
        <v>2</v>
      </c>
      <c r="P39" s="19"/>
      <c r="R39" s="121"/>
      <c r="S39" s="117"/>
      <c r="T39" s="122"/>
      <c r="U39" s="122"/>
      <c r="V39" s="117"/>
      <c r="W39" s="117"/>
      <c r="X39" s="117"/>
      <c r="Y39" s="117"/>
    </row>
    <row r="40" spans="2:25" ht="24" customHeight="1">
      <c r="B40" s="52"/>
      <c r="C40" s="201" t="s">
        <v>32</v>
      </c>
      <c r="D40" s="202"/>
      <c r="E40" s="203"/>
      <c r="F40" s="204" t="s">
        <v>33</v>
      </c>
      <c r="G40" s="204"/>
      <c r="H40" s="204"/>
      <c r="I40" s="204"/>
      <c r="J40" s="204"/>
      <c r="K40" s="204"/>
      <c r="L40" s="204"/>
      <c r="M40" s="204"/>
      <c r="N40" s="205" t="s">
        <v>34</v>
      </c>
      <c r="O40" s="200" t="s">
        <v>35</v>
      </c>
      <c r="P40" s="19"/>
    </row>
    <row r="41" spans="2:25" ht="27.75" customHeight="1">
      <c r="B41" s="53"/>
      <c r="C41" s="208" t="s">
        <v>36</v>
      </c>
      <c r="D41" s="209"/>
      <c r="E41" s="54"/>
      <c r="F41" s="215" t="s">
        <v>37</v>
      </c>
      <c r="G41" s="216"/>
      <c r="H41" s="216" t="s">
        <v>38</v>
      </c>
      <c r="I41" s="216"/>
      <c r="J41" s="216"/>
      <c r="K41" s="217" t="s">
        <v>25</v>
      </c>
      <c r="L41" s="217"/>
      <c r="M41" s="55" t="s">
        <v>6</v>
      </c>
      <c r="N41" s="206"/>
      <c r="O41" s="207"/>
      <c r="P41" s="19"/>
    </row>
    <row r="42" spans="2:25" ht="24" customHeight="1">
      <c r="B42" s="56" t="s">
        <v>39</v>
      </c>
      <c r="C42" s="218"/>
      <c r="D42" s="219"/>
      <c r="E42" s="57"/>
      <c r="F42" s="220"/>
      <c r="G42" s="221"/>
      <c r="H42" s="221"/>
      <c r="I42" s="221"/>
      <c r="J42" s="221"/>
      <c r="K42" s="221"/>
      <c r="L42" s="221"/>
      <c r="M42" s="58"/>
      <c r="N42" s="59"/>
      <c r="O42" s="60"/>
      <c r="P42" s="23"/>
      <c r="Q42" s="119"/>
    </row>
    <row r="43" spans="2:25" ht="24" customHeight="1">
      <c r="B43" s="61" t="s">
        <v>40</v>
      </c>
      <c r="C43" s="227">
        <f>SUM($E$9)</f>
        <v>7342</v>
      </c>
      <c r="D43" s="228"/>
      <c r="E43" s="62"/>
      <c r="F43" s="229">
        <f>$K$29</f>
        <v>8000</v>
      </c>
      <c r="G43" s="230"/>
      <c r="H43" s="230">
        <f>$D$23</f>
        <v>0</v>
      </c>
      <c r="I43" s="230"/>
      <c r="J43" s="230"/>
      <c r="K43" s="231">
        <f>$C$43-$H$43+$F$43+$O$43</f>
        <v>15342</v>
      </c>
      <c r="L43" s="231"/>
      <c r="M43" s="63">
        <f>SUM($K$43)/$D$9</f>
        <v>7.671E-2</v>
      </c>
      <c r="N43" s="64">
        <f>$G$36</f>
        <v>1358.9480303247267</v>
      </c>
      <c r="O43" s="103"/>
      <c r="P43" s="23"/>
      <c r="Q43" s="125"/>
    </row>
    <row r="44" spans="2:25" ht="24.75" customHeight="1">
      <c r="B44" s="65" t="s">
        <v>41</v>
      </c>
      <c r="C44" s="232">
        <f>SUM($E$10)</f>
        <v>183005</v>
      </c>
      <c r="D44" s="233"/>
      <c r="E44" s="66"/>
      <c r="F44" s="234">
        <f>$K$30</f>
        <v>0</v>
      </c>
      <c r="G44" s="235"/>
      <c r="H44" s="235">
        <f>$L$23</f>
        <v>0</v>
      </c>
      <c r="I44" s="235"/>
      <c r="J44" s="235"/>
      <c r="K44" s="236">
        <f>$C$44-$H$44+$F$44+$O$44</f>
        <v>183005</v>
      </c>
      <c r="L44" s="236"/>
      <c r="M44" s="67">
        <f>SUM($K$44)/D10</f>
        <v>0.36601</v>
      </c>
      <c r="N44" s="68">
        <f>$G$37</f>
        <v>1605.0941565117168</v>
      </c>
      <c r="O44" s="104"/>
      <c r="P44" s="23"/>
      <c r="Q44" s="18"/>
    </row>
    <row r="45" spans="2:25" ht="21.75" customHeight="1">
      <c r="B45" s="27"/>
      <c r="C45" s="222"/>
      <c r="D45" s="224"/>
      <c r="E45" s="224"/>
      <c r="F45" s="224"/>
      <c r="G45" s="225" t="s">
        <v>42</v>
      </c>
      <c r="H45" s="224"/>
      <c r="I45" s="224"/>
      <c r="J45" s="224"/>
      <c r="K45" s="224"/>
      <c r="L45" s="224"/>
      <c r="M45" s="224"/>
      <c r="N45" s="224"/>
      <c r="O45" s="224"/>
      <c r="P45" s="25"/>
    </row>
    <row r="46" spans="2:25" ht="34.5" customHeight="1">
      <c r="B46" s="28"/>
      <c r="C46" s="223"/>
      <c r="D46" s="112"/>
      <c r="E46" s="112"/>
      <c r="F46" s="112"/>
      <c r="G46" s="112"/>
      <c r="H46" s="112"/>
      <c r="I46" s="112"/>
      <c r="J46" s="106"/>
      <c r="K46" s="106"/>
      <c r="L46" s="113"/>
      <c r="N46" s="114"/>
      <c r="O46" s="114"/>
      <c r="P46" s="115"/>
    </row>
    <row r="47" spans="2:25" ht="24" customHeight="1">
      <c r="B47" s="106"/>
      <c r="C47" s="18"/>
      <c r="D47" s="18"/>
      <c r="E47" s="18"/>
      <c r="F47" s="18"/>
      <c r="G47" s="18"/>
      <c r="H47" s="18"/>
      <c r="I47" s="18"/>
      <c r="J47" s="30"/>
      <c r="K47" s="18"/>
      <c r="L47" s="31"/>
      <c r="N47" s="114"/>
      <c r="O47" s="114"/>
      <c r="P47" s="115"/>
    </row>
    <row r="48" spans="2:25" ht="24" customHeight="1">
      <c r="B48" s="106"/>
      <c r="C48" s="18"/>
      <c r="D48" s="18"/>
      <c r="E48" s="18"/>
      <c r="F48" s="18"/>
      <c r="G48" s="18"/>
      <c r="H48" s="18"/>
      <c r="I48" s="18"/>
      <c r="J48" s="30"/>
      <c r="K48" s="18"/>
      <c r="L48" s="31"/>
      <c r="N48" s="29"/>
      <c r="O48" s="29"/>
      <c r="P48" s="25"/>
    </row>
    <row r="49" spans="2:16" ht="24" customHeight="1">
      <c r="B49" s="106"/>
      <c r="C49" s="18"/>
      <c r="D49" s="18"/>
      <c r="E49" s="18"/>
      <c r="F49" s="18"/>
      <c r="G49" s="18"/>
      <c r="H49" s="18"/>
      <c r="I49" s="18"/>
      <c r="J49" s="30"/>
      <c r="K49" s="18"/>
      <c r="L49" s="31"/>
      <c r="N49" s="4"/>
      <c r="O49" s="4"/>
      <c r="P49" s="4"/>
    </row>
    <row r="50" spans="2:16" ht="26.25" customHeight="1">
      <c r="K50" s="226"/>
      <c r="L50" s="226"/>
    </row>
    <row r="122" ht="25.5" customHeight="1"/>
    <row r="123" ht="25.5" customHeight="1"/>
    <row r="124" ht="25.5" customHeight="1"/>
  </sheetData>
  <mergeCells count="93">
    <mergeCell ref="K50:L50"/>
    <mergeCell ref="C43:D43"/>
    <mergeCell ref="F43:G43"/>
    <mergeCell ref="H43:J43"/>
    <mergeCell ref="K43:L43"/>
    <mergeCell ref="C44:D44"/>
    <mergeCell ref="F44:G44"/>
    <mergeCell ref="H44:J44"/>
    <mergeCell ref="K44:L44"/>
    <mergeCell ref="C42:D42"/>
    <mergeCell ref="F42:G42"/>
    <mergeCell ref="H42:J42"/>
    <mergeCell ref="K42:L42"/>
    <mergeCell ref="C45:C46"/>
    <mergeCell ref="D45:F45"/>
    <mergeCell ref="G45:O45"/>
    <mergeCell ref="X36:Y36"/>
    <mergeCell ref="C37:D37"/>
    <mergeCell ref="E37:F37"/>
    <mergeCell ref="G37:H37"/>
    <mergeCell ref="B39:C39"/>
    <mergeCell ref="C36:D36"/>
    <mergeCell ref="E36:F36"/>
    <mergeCell ref="G36:H36"/>
    <mergeCell ref="R36:S36"/>
    <mergeCell ref="T36:U36"/>
    <mergeCell ref="V36:W36"/>
    <mergeCell ref="C40:E40"/>
    <mergeCell ref="F40:M40"/>
    <mergeCell ref="N40:N41"/>
    <mergeCell ref="O40:O41"/>
    <mergeCell ref="C41:D41"/>
    <mergeCell ref="F41:G41"/>
    <mergeCell ref="H41:J41"/>
    <mergeCell ref="K41:L41"/>
    <mergeCell ref="C35:D35"/>
    <mergeCell ref="E35:F35"/>
    <mergeCell ref="G35:H35"/>
    <mergeCell ref="C31:D31"/>
    <mergeCell ref="E31:F31"/>
    <mergeCell ref="G31:H31"/>
    <mergeCell ref="C32:D32"/>
    <mergeCell ref="E32:F32"/>
    <mergeCell ref="G32:H32"/>
    <mergeCell ref="B33:C33"/>
    <mergeCell ref="G33:H33"/>
    <mergeCell ref="C34:D34"/>
    <mergeCell ref="E34:F34"/>
    <mergeCell ref="G34:H34"/>
    <mergeCell ref="O30:P30"/>
    <mergeCell ref="C29:D29"/>
    <mergeCell ref="E29:F29"/>
    <mergeCell ref="G29:H29"/>
    <mergeCell ref="K29:L29"/>
    <mergeCell ref="M29:N29"/>
    <mergeCell ref="O29:P29"/>
    <mergeCell ref="C30:D30"/>
    <mergeCell ref="E30:F30"/>
    <mergeCell ref="G30:H30"/>
    <mergeCell ref="K30:L30"/>
    <mergeCell ref="M30:N30"/>
    <mergeCell ref="O28:P28"/>
    <mergeCell ref="C27:D27"/>
    <mergeCell ref="E27:F27"/>
    <mergeCell ref="G27:H27"/>
    <mergeCell ref="K27:L27"/>
    <mergeCell ref="M27:N27"/>
    <mergeCell ref="O27:P27"/>
    <mergeCell ref="C28:D28"/>
    <mergeCell ref="E28:F28"/>
    <mergeCell ref="G28:H28"/>
    <mergeCell ref="K28:L28"/>
    <mergeCell ref="M28:N28"/>
    <mergeCell ref="O26:P26"/>
    <mergeCell ref="B13:C13"/>
    <mergeCell ref="G13:H13"/>
    <mergeCell ref="J13:K13"/>
    <mergeCell ref="O13:P13"/>
    <mergeCell ref="B14:B15"/>
    <mergeCell ref="C14:H14"/>
    <mergeCell ref="J14:J15"/>
    <mergeCell ref="K14:P14"/>
    <mergeCell ref="B16:B22"/>
    <mergeCell ref="J16:J22"/>
    <mergeCell ref="B26:C26"/>
    <mergeCell ref="G26:H26"/>
    <mergeCell ref="J26:K26"/>
    <mergeCell ref="B1:P1"/>
    <mergeCell ref="B3:O3"/>
    <mergeCell ref="B5:C5"/>
    <mergeCell ref="H5:L5"/>
    <mergeCell ref="B7:B10"/>
    <mergeCell ref="H7:H10"/>
  </mergeCells>
  <phoneticPr fontId="2" type="noConversion"/>
  <printOptions horizontalCentered="1"/>
  <pageMargins left="0.19685039370078741" right="0.19685039370078741" top="0.59055118110236227" bottom="0.19685039370078741" header="0.31496062992125984" footer="0.35433070866141736"/>
  <pageSetup paperSize="9" scale="75" fitToHeight="5" orientation="portrait"/>
  <headerFooter alignWithMargins="0"/>
  <rowBreaks count="1" manualBreakCount="1">
    <brk id="22" min="1" max="18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ST xmlns="10ca9d65-7e40-43aa-a3af-b4abd9eb226d" xsi:nil="true"/>
    <TaxCatchAll xmlns="d107b9a1-f7b9-4b0a-8cf8-5b5c3c16cd5c" xsi:nil="true"/>
    <lcf76f155ced4ddcb4097134ff3c332f xmlns="10ca9d65-7e40-43aa-a3af-b4abd9eb226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8A2EF9312E388D4AB8B25C706DA469DD" ma:contentTypeVersion="13" ma:contentTypeDescription="새 문서를 만듭니다." ma:contentTypeScope="" ma:versionID="d70c89f8583ac7c5e7fc3bd89e243040">
  <xsd:schema xmlns:xsd="http://www.w3.org/2001/XMLSchema" xmlns:xs="http://www.w3.org/2001/XMLSchema" xmlns:p="http://schemas.microsoft.com/office/2006/metadata/properties" xmlns:ns2="10ca9d65-7e40-43aa-a3af-b4abd9eb226d" xmlns:ns3="d107b9a1-f7b9-4b0a-8cf8-5b5c3c16cd5c" targetNamespace="http://schemas.microsoft.com/office/2006/metadata/properties" ma:root="true" ma:fieldsID="bf41f7e09c40c39f01c1962de2ed1ed2" ns2:_="" ns3:_="">
    <xsd:import namespace="10ca9d65-7e40-43aa-a3af-b4abd9eb226d"/>
    <xsd:import namespace="d107b9a1-f7b9-4b0a-8cf8-5b5c3c16cd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TEST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ca9d65-7e40-43aa-a3af-b4abd9eb22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TEST" ma:index="11" nillable="true" ma:displayName="TEST" ma:format="Dropdown" ma:internalName="TEST">
      <xsd:simpleType>
        <xsd:restriction base="dms:Text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이미지 태그" ma:readOnly="false" ma:fieldId="{5cf76f15-5ced-4ddc-b409-7134ff3c332f}" ma:taxonomyMulti="true" ma:sspId="2abebdaf-8092-44e9-8988-34bc1dd900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07b9a1-f7b9-4b0a-8cf8-5b5c3c16cd5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928d3fe-75b9-4899-8691-c7f9fa907b3d}" ma:internalName="TaxCatchAll" ma:showField="CatchAllData" ma:web="d107b9a1-f7b9-4b0a-8cf8-5b5c3c16cd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C845FB4-CCF7-4D03-ADCB-696020C6B36E}"/>
</file>

<file path=customXml/itemProps2.xml><?xml version="1.0" encoding="utf-8"?>
<ds:datastoreItem xmlns:ds="http://schemas.openxmlformats.org/officeDocument/2006/customXml" ds:itemID="{5062AE57-F8E3-452C-A092-01D25E15438A}"/>
</file>

<file path=customXml/itemProps3.xml><?xml version="1.0" encoding="utf-8"?>
<ds:datastoreItem xmlns:ds="http://schemas.openxmlformats.org/officeDocument/2006/customXml" ds:itemID="{743222D4-AFDB-4FF2-B97B-32EC5839CC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KK</dc:creator>
  <cp:keywords/>
  <dc:description/>
  <cp:lastModifiedBy>박태건</cp:lastModifiedBy>
  <cp:revision/>
  <dcterms:created xsi:type="dcterms:W3CDTF">2013-03-29T08:15:26Z</dcterms:created>
  <dcterms:modified xsi:type="dcterms:W3CDTF">2026-09-11T02:26:29Z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ST">
    <vt:lpwstr/>
  </property>
  <property fmtid="{D5CDD505-2E9C-101B-9397-08002B2CF9AE}" pid="3" name="ContentTypeId">
    <vt:lpwstr>0x0101008A2EF9312E388D4AB8B25C706DA469DD</vt:lpwstr>
  </property>
  <property fmtid="{D5CDD505-2E9C-101B-9397-08002B2CF9AE}" pid="4" name="MediaServiceImageTags">
    <vt:lpwstr/>
  </property>
</Properties>
</file>